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mburi/Downloads/"/>
    </mc:Choice>
  </mc:AlternateContent>
  <xr:revisionPtr revIDLastSave="0" documentId="8_{07885237-B96D-EC4C-8FD4-EA91A6764F88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Inputs" sheetId="1" r:id="rId1"/>
    <sheet name="Sales Mix Simulator" sheetId="2" r:id="rId2"/>
    <sheet name="P&amp;L Analysis" sheetId="3" r:id="rId3"/>
    <sheet name="Mix Impact Analysis" sheetId="4" r:id="rId4"/>
    <sheet name="Marketing Guidance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B20" i="5"/>
  <c r="B19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C7" i="4"/>
  <c r="C14" i="4"/>
  <c r="D14" i="4"/>
  <c r="E14" i="4"/>
  <c r="F14" i="4"/>
  <c r="C8" i="4"/>
  <c r="C15" i="4"/>
  <c r="D15" i="4"/>
  <c r="E15" i="4"/>
  <c r="F15" i="4"/>
  <c r="C9" i="4"/>
  <c r="C16" i="4"/>
  <c r="D16" i="4"/>
  <c r="E16" i="4"/>
  <c r="F16" i="4"/>
  <c r="F17" i="4"/>
  <c r="B20" i="4"/>
  <c r="D27" i="1"/>
  <c r="D28" i="1"/>
  <c r="D29" i="1"/>
  <c r="D30" i="1"/>
  <c r="D31" i="1"/>
  <c r="D32" i="1"/>
  <c r="D33" i="1"/>
  <c r="D34" i="1"/>
  <c r="D35" i="1"/>
  <c r="B21" i="4"/>
  <c r="B22" i="4"/>
  <c r="B24" i="4"/>
  <c r="D17" i="4"/>
  <c r="B23" i="4"/>
  <c r="B25" i="4"/>
  <c r="B26" i="4"/>
  <c r="B27" i="4"/>
  <c r="B28" i="4"/>
  <c r="G17" i="4"/>
  <c r="E17" i="4"/>
  <c r="C17" i="4"/>
  <c r="B14" i="4"/>
  <c r="B15" i="4"/>
  <c r="B16" i="4"/>
  <c r="B17" i="4"/>
  <c r="I16" i="4"/>
  <c r="H16" i="4"/>
  <c r="G16" i="4"/>
  <c r="I15" i="4"/>
  <c r="H15" i="4"/>
  <c r="G15" i="4"/>
  <c r="I14" i="4"/>
  <c r="H14" i="4"/>
  <c r="G14" i="4"/>
  <c r="B10" i="4"/>
  <c r="C10" i="4"/>
  <c r="E6" i="2"/>
  <c r="G6" i="2"/>
  <c r="E7" i="2"/>
  <c r="G7" i="2"/>
  <c r="E8" i="2"/>
  <c r="G8" i="2"/>
  <c r="E9" i="2"/>
  <c r="G9" i="2"/>
  <c r="E10" i="2"/>
  <c r="G10" i="2"/>
  <c r="G21" i="2"/>
  <c r="I6" i="2"/>
  <c r="I7" i="2"/>
  <c r="I8" i="2"/>
  <c r="I9" i="2"/>
  <c r="I10" i="2"/>
  <c r="I21" i="2"/>
  <c r="E12" i="3"/>
  <c r="E11" i="2"/>
  <c r="G11" i="2"/>
  <c r="G22" i="2"/>
  <c r="I11" i="2"/>
  <c r="I22" i="2"/>
  <c r="E13" i="3"/>
  <c r="E12" i="2"/>
  <c r="G12" i="2"/>
  <c r="E13" i="2"/>
  <c r="G13" i="2"/>
  <c r="E14" i="2"/>
  <c r="G14" i="2"/>
  <c r="E15" i="2"/>
  <c r="G15" i="2"/>
  <c r="E16" i="2"/>
  <c r="G16" i="2"/>
  <c r="G23" i="2"/>
  <c r="I12" i="2"/>
  <c r="I13" i="2"/>
  <c r="I14" i="2"/>
  <c r="I15" i="2"/>
  <c r="I16" i="2"/>
  <c r="I23" i="2"/>
  <c r="E14" i="3"/>
  <c r="E15" i="3"/>
  <c r="G17" i="2"/>
  <c r="E9" i="3"/>
  <c r="B40" i="3"/>
  <c r="F6" i="2"/>
  <c r="F7" i="2"/>
  <c r="F8" i="2"/>
  <c r="F9" i="2"/>
  <c r="F10" i="2"/>
  <c r="F21" i="2"/>
  <c r="H6" i="2"/>
  <c r="H7" i="2"/>
  <c r="H8" i="2"/>
  <c r="H9" i="2"/>
  <c r="H10" i="2"/>
  <c r="H21" i="2"/>
  <c r="B12" i="3"/>
  <c r="F11" i="2"/>
  <c r="F22" i="2"/>
  <c r="H11" i="2"/>
  <c r="H22" i="2"/>
  <c r="B13" i="3"/>
  <c r="F12" i="2"/>
  <c r="F13" i="2"/>
  <c r="F14" i="2"/>
  <c r="F15" i="2"/>
  <c r="F16" i="2"/>
  <c r="F23" i="2"/>
  <c r="H12" i="2"/>
  <c r="H13" i="2"/>
  <c r="H14" i="2"/>
  <c r="H15" i="2"/>
  <c r="H16" i="2"/>
  <c r="H23" i="2"/>
  <c r="B14" i="3"/>
  <c r="B15" i="3"/>
  <c r="F17" i="2"/>
  <c r="B9" i="3"/>
  <c r="B39" i="3"/>
  <c r="E16" i="3"/>
  <c r="E27" i="3"/>
  <c r="E29" i="3"/>
  <c r="E31" i="3"/>
  <c r="B36" i="3"/>
  <c r="B34" i="3"/>
  <c r="B38" i="3"/>
  <c r="B16" i="3"/>
  <c r="B27" i="3"/>
  <c r="B29" i="3"/>
  <c r="B31" i="3"/>
  <c r="B35" i="3"/>
  <c r="B37" i="3"/>
  <c r="G31" i="3"/>
  <c r="F31" i="3"/>
  <c r="C31" i="3"/>
  <c r="G29" i="3"/>
  <c r="F29" i="3"/>
  <c r="C29" i="3"/>
  <c r="G27" i="3"/>
  <c r="F27" i="3"/>
  <c r="C27" i="3"/>
  <c r="G26" i="3"/>
  <c r="E26" i="3"/>
  <c r="F26" i="3"/>
  <c r="B26" i="3"/>
  <c r="C26" i="3"/>
  <c r="G25" i="3"/>
  <c r="E25" i="3"/>
  <c r="F25" i="3"/>
  <c r="B25" i="3"/>
  <c r="C25" i="3"/>
  <c r="G24" i="3"/>
  <c r="E24" i="3"/>
  <c r="F24" i="3"/>
  <c r="B24" i="3"/>
  <c r="C24" i="3"/>
  <c r="G23" i="3"/>
  <c r="E23" i="3"/>
  <c r="F23" i="3"/>
  <c r="B23" i="3"/>
  <c r="C23" i="3"/>
  <c r="G22" i="3"/>
  <c r="E22" i="3"/>
  <c r="F22" i="3"/>
  <c r="B22" i="3"/>
  <c r="C22" i="3"/>
  <c r="G21" i="3"/>
  <c r="E21" i="3"/>
  <c r="F21" i="3"/>
  <c r="B21" i="3"/>
  <c r="C21" i="3"/>
  <c r="G20" i="3"/>
  <c r="E20" i="3"/>
  <c r="F20" i="3"/>
  <c r="B20" i="3"/>
  <c r="C20" i="3"/>
  <c r="G19" i="3"/>
  <c r="E19" i="3"/>
  <c r="F19" i="3"/>
  <c r="B19" i="3"/>
  <c r="C19" i="3"/>
  <c r="G16" i="3"/>
  <c r="F16" i="3"/>
  <c r="C16" i="3"/>
  <c r="G15" i="3"/>
  <c r="F15" i="3"/>
  <c r="C15" i="3"/>
  <c r="G14" i="3"/>
  <c r="F14" i="3"/>
  <c r="C14" i="3"/>
  <c r="G13" i="3"/>
  <c r="F13" i="3"/>
  <c r="C13" i="3"/>
  <c r="G12" i="3"/>
  <c r="F12" i="3"/>
  <c r="C12" i="3"/>
  <c r="G9" i="3"/>
  <c r="F9" i="3"/>
  <c r="C9" i="3"/>
  <c r="E8" i="3"/>
  <c r="B8" i="3"/>
  <c r="G8" i="3"/>
  <c r="F8" i="3"/>
  <c r="C8" i="3"/>
  <c r="E7" i="3"/>
  <c r="B7" i="3"/>
  <c r="G7" i="3"/>
  <c r="F7" i="3"/>
  <c r="C7" i="3"/>
  <c r="E6" i="3"/>
  <c r="B6" i="3"/>
  <c r="G6" i="3"/>
  <c r="F6" i="3"/>
  <c r="C6" i="3"/>
  <c r="K23" i="2"/>
  <c r="J23" i="2"/>
  <c r="E23" i="2"/>
  <c r="D23" i="2"/>
  <c r="C23" i="2"/>
  <c r="K22" i="2"/>
  <c r="J22" i="2"/>
  <c r="E22" i="2"/>
  <c r="D22" i="2"/>
  <c r="C22" i="2"/>
  <c r="K21" i="2"/>
  <c r="J21" i="2"/>
  <c r="E21" i="2"/>
  <c r="D21" i="2"/>
  <c r="C21" i="2"/>
  <c r="I17" i="2"/>
  <c r="K17" i="2"/>
  <c r="H17" i="2"/>
  <c r="J17" i="2"/>
  <c r="E17" i="2"/>
  <c r="D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C35" i="1"/>
  <c r="J12" i="1"/>
  <c r="I12" i="1"/>
  <c r="K12" i="1"/>
  <c r="J13" i="1"/>
  <c r="I13" i="1"/>
  <c r="K13" i="1"/>
  <c r="J14" i="1"/>
  <c r="I14" i="1"/>
  <c r="K14" i="1"/>
  <c r="J15" i="1"/>
  <c r="I15" i="1"/>
  <c r="K15" i="1"/>
  <c r="J16" i="1"/>
  <c r="I16" i="1"/>
  <c r="K16" i="1"/>
  <c r="J17" i="1"/>
  <c r="I17" i="1"/>
  <c r="K17" i="1"/>
  <c r="J18" i="1"/>
  <c r="I18" i="1"/>
  <c r="K18" i="1"/>
  <c r="J19" i="1"/>
  <c r="I19" i="1"/>
  <c r="K19" i="1"/>
  <c r="J20" i="1"/>
  <c r="I20" i="1"/>
  <c r="K20" i="1"/>
  <c r="J21" i="1"/>
  <c r="I21" i="1"/>
  <c r="K21" i="1"/>
  <c r="J22" i="1"/>
  <c r="I22" i="1"/>
  <c r="K22" i="1"/>
  <c r="K23" i="1"/>
  <c r="J23" i="1"/>
  <c r="I23" i="1"/>
  <c r="H12" i="1"/>
  <c r="H13" i="1"/>
  <c r="H14" i="1"/>
  <c r="H15" i="1"/>
  <c r="H16" i="1"/>
  <c r="H17" i="1"/>
  <c r="H18" i="1"/>
  <c r="H19" i="1"/>
  <c r="H20" i="1"/>
  <c r="H21" i="1"/>
  <c r="H22" i="1"/>
  <c r="H23" i="1"/>
  <c r="G12" i="1"/>
  <c r="G13" i="1"/>
  <c r="G14" i="1"/>
  <c r="G15" i="1"/>
  <c r="G16" i="1"/>
  <c r="G17" i="1"/>
  <c r="G18" i="1"/>
  <c r="G19" i="1"/>
  <c r="G20" i="1"/>
  <c r="G21" i="1"/>
  <c r="G22" i="1"/>
  <c r="G23" i="1"/>
  <c r="F23" i="1"/>
  <c r="E23" i="1"/>
  <c r="D23" i="1"/>
</calcChain>
</file>

<file path=xl/sharedStrings.xml><?xml version="1.0" encoding="utf-8"?>
<sst xmlns="http://schemas.openxmlformats.org/spreadsheetml/2006/main" count="245" uniqueCount="165">
  <si>
    <t>☕🍦  ICE CREAM &amp; CAFÉ – P&amp;L SIMULATOR</t>
  </si>
  <si>
    <t>Blue cells = your inputs. All calculations are formulas — change any number and everything updates.</t>
  </si>
  <si>
    <t>BUSINESS SETTINGS</t>
  </si>
  <si>
    <t>Business Name</t>
  </si>
  <si>
    <t>My Store</t>
  </si>
  <si>
    <t>Target Net Margin %</t>
  </si>
  <si>
    <t>Daily Operating Hours</t>
  </si>
  <si>
    <t>Days Open per Year</t>
  </si>
  <si>
    <t>PRODUCT PRICE &amp; COST TABLE</t>
  </si>
  <si>
    <t>Category</t>
  </si>
  <si>
    <t>Item</t>
  </si>
  <si>
    <t>Old Price</t>
  </si>
  <si>
    <t>New Price</t>
  </si>
  <si>
    <t>Cost per Unit</t>
  </si>
  <si>
    <t>Old COGS %</t>
  </si>
  <si>
    <t>New COGS %</t>
  </si>
  <si>
    <t>Old Margin $</t>
  </si>
  <si>
    <t>New Margin $</t>
  </si>
  <si>
    <t>Margin Change</t>
  </si>
  <si>
    <t>Icecream</t>
  </si>
  <si>
    <t>Icecream Kids</t>
  </si>
  <si>
    <t>Icecream Medium</t>
  </si>
  <si>
    <t>Icecream Large</t>
  </si>
  <si>
    <t>Hand Packed</t>
  </si>
  <si>
    <t>Sampler</t>
  </si>
  <si>
    <t>Drinks</t>
  </si>
  <si>
    <t>Cofee</t>
  </si>
  <si>
    <t>Coffee - Basic (Americano)</t>
  </si>
  <si>
    <t>Coffee - Espresso</t>
  </si>
  <si>
    <t>Coffee No Syrup - Cappuccino/Latte</t>
  </si>
  <si>
    <t>Coffee - Mocha</t>
  </si>
  <si>
    <t>Spl Coffee</t>
  </si>
  <si>
    <t>AVERAGES</t>
  </si>
  <si>
    <t>OPERATING EXPENSES – INDUSTRY BENCHMARKS (Café + Ice Cream Shop)</t>
  </si>
  <si>
    <t>Expense Category</t>
  </si>
  <si>
    <t>Monthly ($)</t>
  </si>
  <si>
    <t>Annual ($)</t>
  </si>
  <si>
    <t>% of Revenue (benchmark)</t>
  </si>
  <si>
    <t>Notes</t>
  </si>
  <si>
    <t>Staffing &amp; Wages</t>
  </si>
  <si>
    <t>30–35% of revenue – largest cost for cafés</t>
  </si>
  <si>
    <t>Rent &amp; Occupancy</t>
  </si>
  <si>
    <t>10–15% of revenue – location dependent</t>
  </si>
  <si>
    <t>Utilities (power/water)</t>
  </si>
  <si>
    <t>3–5% – refrigeration heavy for ice cream</t>
  </si>
  <si>
    <t>Supplies &amp; Packaging</t>
  </si>
  <si>
    <t>2–3% – cups, cones, lids, napkins</t>
  </si>
  <si>
    <t>Marketing &amp; Promotions</t>
  </si>
  <si>
    <t>2–4% – social media, local ads</t>
  </si>
  <si>
    <t>Equipment Maintenance</t>
  </si>
  <si>
    <t>1–2% – ice cream machines, espresso</t>
  </si>
  <si>
    <t>Insurance</t>
  </si>
  <si>
    <t>1% – food business liability</t>
  </si>
  <si>
    <t>POS / Software / Misc</t>
  </si>
  <si>
    <t>0.5–1%</t>
  </si>
  <si>
    <t>TOTAL MONTHLY OPEX</t>
  </si>
  <si>
    <t>COLOUR LEGEND</t>
  </si>
  <si>
    <t>Blue text = Input (change these)</t>
  </si>
  <si>
    <t>Pink rows = Icecream category</t>
  </si>
  <si>
    <t>Blue rows = Drinks category</t>
  </si>
  <si>
    <t>Green rows = Coffee category</t>
  </si>
  <si>
    <t>📊  SALES MIX &amp; VOLUME SIMULATOR</t>
  </si>
  <si>
    <t>Adjust units sold per item. See how sales mix changes category contribution and overall profit.</t>
  </si>
  <si>
    <t>UNIT SALES INPUT — Enter how many units sold per day per item</t>
  </si>
  <si>
    <t>Units/Day</t>
  </si>
  <si>
    <t>Annual Units</t>
  </si>
  <si>
    <t>Old Revenue</t>
  </si>
  <si>
    <t>New Revenue</t>
  </si>
  <si>
    <t>Old GP $</t>
  </si>
  <si>
    <t>New GP $</t>
  </si>
  <si>
    <t>Old GP %</t>
  </si>
  <si>
    <t>New GP %</t>
  </si>
  <si>
    <t>TOTAL ALL ITEMS</t>
  </si>
  <si>
    <t>CATEGORY CONTRIBUTION ANALYSIS</t>
  </si>
  <si>
    <t>Revenue Mix %</t>
  </si>
  <si>
    <t>Old Gross Profit</t>
  </si>
  <si>
    <t>New Gross Profit</t>
  </si>
  <si>
    <t>📈  P&amp;L ANALYSIS – OLD RATES vs NEW RATES</t>
  </si>
  <si>
    <t>Full P&amp;L comparing old vs new pricing, with OPEX and margin guidance.</t>
  </si>
  <si>
    <t>P&amp;L Line Item</t>
  </si>
  <si>
    <t>OLD Rates ($)</t>
  </si>
  <si>
    <t>OLD Rates (%)</t>
  </si>
  <si>
    <t>NEW Rates ($)</t>
  </si>
  <si>
    <t>NEW Rates (%)</t>
  </si>
  <si>
    <t>Difference</t>
  </si>
  <si>
    <t>REVENUE</t>
  </si>
  <si>
    <t xml:space="preserve">  Icecream Revenue</t>
  </si>
  <si>
    <t xml:space="preserve">  Drinks Revenue</t>
  </si>
  <si>
    <t xml:space="preserve">  Cofee Revenue</t>
  </si>
  <si>
    <t>TOTAL REVENUE</t>
  </si>
  <si>
    <t>COST OF GOODS SOLD (COGS)</t>
  </si>
  <si>
    <t xml:space="preserve">  Icecream COGS</t>
  </si>
  <si>
    <t xml:space="preserve">  Drinks COGS</t>
  </si>
  <si>
    <t xml:space="preserve">  Cofee COGS</t>
  </si>
  <si>
    <t>TOTAL COGS</t>
  </si>
  <si>
    <t>GROSS PROFIT</t>
  </si>
  <si>
    <t>OPERATING EXPENSES (OPEX)</t>
  </si>
  <si>
    <t xml:space="preserve">  Staffing &amp; Wages</t>
  </si>
  <si>
    <t xml:space="preserve">  Rent &amp; Occupancy</t>
  </si>
  <si>
    <t xml:space="preserve">  Utilities (power/water)</t>
  </si>
  <si>
    <t xml:space="preserve">  Supplies &amp; Packaging</t>
  </si>
  <si>
    <t xml:space="preserve">  Marketing &amp; Promotions</t>
  </si>
  <si>
    <t xml:space="preserve">  Equipment Maintenance</t>
  </si>
  <si>
    <t xml:space="preserve">  Insurance</t>
  </si>
  <si>
    <t xml:space="preserve">  POS / Software / Misc</t>
  </si>
  <si>
    <t>TOTAL OPEX</t>
  </si>
  <si>
    <t>EBITDA (Earnings Before Tax)</t>
  </si>
  <si>
    <t xml:space="preserve">  Tax Rate (input below)</t>
  </si>
  <si>
    <t>NET INCOME (After Tax)</t>
  </si>
  <si>
    <t>🎯  MARGIN GUIDANCE – CAN YOU HIT YOUR TARGET?</t>
  </si>
  <si>
    <t>Actual Net Margin (Old Rates)</t>
  </si>
  <si>
    <t>Actual Net Margin (New Rates)</t>
  </si>
  <si>
    <t>Gap – Old Rates vs Target</t>
  </si>
  <si>
    <t>Gap – New Rates vs Target</t>
  </si>
  <si>
    <t>Revenue needed (Old) to hit target</t>
  </si>
  <si>
    <t>Revenue needed (New) to hit target</t>
  </si>
  <si>
    <t>🔀  SALES MIX IMPACT – WHAT HAPPENS IF YOU SELL MORE OF ONE CATEGORY?</t>
  </si>
  <si>
    <t>See what profit you make at different sales mixes. E.g. if 90% of sales is Ice Cream, can you still hit your margin target?</t>
  </si>
  <si>
    <t>CATEGORY MIX SCENARIO BUILDER</t>
  </si>
  <si>
    <t>Total Daily Units (all categories)</t>
  </si>
  <si>
    <t>Enter the sales MIX % per category below (must add to 100%):</t>
  </si>
  <si>
    <t>Icecream — % of total sales</t>
  </si>
  <si>
    <t>Units/Day →</t>
  </si>
  <si>
    <t>Drinks — % of total sales</t>
  </si>
  <si>
    <t>Cofee — % of total sales</t>
  </si>
  <si>
    <t>Total Mix % (must = 100%)</t>
  </si>
  <si>
    <t>SCENARIO RESULTS — NEW RATES</t>
  </si>
  <si>
    <t>Revenue</t>
  </si>
  <si>
    <t>COGS</t>
  </si>
  <si>
    <t>Gross Profit</t>
  </si>
  <si>
    <t>GP %</t>
  </si>
  <si>
    <t>Contribution to Total GP</t>
  </si>
  <si>
    <t>Mix % of Revenue</t>
  </si>
  <si>
    <t>TOTAL</t>
  </si>
  <si>
    <t>100.0%</t>
  </si>
  <si>
    <t>🎯  CAN THIS MIX HIT YOUR MARGIN TARGET?</t>
  </si>
  <si>
    <t>Gross Profit (this mix)</t>
  </si>
  <si>
    <t>Annual OPEX</t>
  </si>
  <si>
    <t>EBITDA</t>
  </si>
  <si>
    <t>Net Income (est. 25% tax)</t>
  </si>
  <si>
    <t>Actual Net Margin %</t>
  </si>
  <si>
    <t>Gap to Target</t>
  </si>
  <si>
    <t>Verdict</t>
  </si>
  <si>
    <t>📣  MARKETING GUIDANCE – WHICH PRODUCTS TO PUSH?</t>
  </si>
  <si>
    <t>Products ranked by new gross margin. Higher margin = push harder. Use this to guide promos &amp; staff upselling.</t>
  </si>
  <si>
    <t>PRODUCT RANKING BY GROSS MARGIN % (New Rates)</t>
  </si>
  <si>
    <t>Gross Margin $</t>
  </si>
  <si>
    <t>Gross Margin %</t>
  </si>
  <si>
    <t>CATEGORY AVERAGE MARGIN — New Rates</t>
  </si>
  <si>
    <t>Icecream — Average Gross Margin %</t>
  </si>
  <si>
    <t>Drinks — Average Gross Margin %</t>
  </si>
  <si>
    <t>Cofee — Average Gross Margin %</t>
  </si>
  <si>
    <t>💡  STRATEGIC GUIDANCE</t>
  </si>
  <si>
    <t>▶  Push Coffee hard</t>
  </si>
  <si>
    <t>Coffee items have the highest gross margins (70%+). Every extra coffee sale significantly boosts profit.</t>
  </si>
  <si>
    <t>▶  Ice Cream volume is key</t>
  </si>
  <si>
    <t>IC margins are good but need HIGH volume to cover OPEX. Low IC volume = loss.</t>
  </si>
  <si>
    <t>▶  Drinks are your safety net</t>
  </si>
  <si>
    <t>Drinks have consistent margins. Upsell a drink with every order.</t>
  </si>
  <si>
    <t>▶  New rates are better</t>
  </si>
  <si>
    <t>Most new prices increase margins. Especially Hand Packed &amp; Sampler.</t>
  </si>
  <si>
    <t>▶  Avoid 90% IC dependency</t>
  </si>
  <si>
    <t>If 90% of sales is ice cream, OPEX will likely erode all profit. Aim for 50/25/25 mix.</t>
  </si>
  <si>
    <t>▶  Upsell combos</t>
  </si>
  <si>
    <t>Combo deals (IC + Coffee) improve average transaction value and margin mix.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</si>
</sst>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.00"/>
    <numFmt numFmtId="166" formatCode="\$#,##0.00;&quot;($&quot;#,##0.00\);\-"/>
    <numFmt numFmtId="167" formatCode="\$#,##0"/>
    <numFmt numFmtId="168" formatCode="\$#,##0;&quot;($&quot;#,##0\);\-"/>
    <numFmt numFmtId="169" formatCode="0.0%;\(0.0%\);\-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FF6B9D"/>
      <name val="Arial"/>
      <family val="2"/>
    </font>
    <font>
      <b/>
      <sz val="10"/>
      <color rgb="FF4472C4"/>
      <name val="Arial"/>
      <family val="2"/>
    </font>
    <font>
      <b/>
      <sz val="10"/>
      <color rgb="FF70AD47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595959"/>
      <name val="Arial"/>
      <family val="2"/>
    </font>
    <font>
      <sz val="10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404040"/>
      <name val="Arial"/>
      <family val="2"/>
    </font>
    <font>
      <b/>
      <sz val="10"/>
      <color theme="0" tint="-0.89999084444715716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BF1FF"/>
      </patternFill>
    </fill>
    <fill>
      <patternFill patternType="solid">
        <fgColor rgb="FF404040"/>
        <bgColor rgb="FF375623"/>
      </patternFill>
    </fill>
    <fill>
      <patternFill patternType="solid">
        <fgColor rgb="FFEBF1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D9E1F2"/>
        <bgColor rgb="FFDAE8FC"/>
      </patternFill>
    </fill>
    <fill>
      <patternFill patternType="solid">
        <fgColor rgb="FFFCE4D6"/>
        <bgColor rgb="FFFFE4F0"/>
      </patternFill>
    </fill>
    <fill>
      <patternFill patternType="solid">
        <fgColor rgb="FFE2EFDA"/>
        <bgColor rgb="FFDEEAF1"/>
      </patternFill>
    </fill>
    <fill>
      <patternFill patternType="solid">
        <fgColor rgb="FFFFE4F0"/>
        <bgColor rgb="FFFCE4D6"/>
      </patternFill>
    </fill>
    <fill>
      <patternFill patternType="solid">
        <fgColor rgb="FFDAE8FC"/>
        <bgColor rgb="FFDEEAF1"/>
      </patternFill>
    </fill>
    <fill>
      <patternFill patternType="solid">
        <fgColor rgb="FFDEEAF1"/>
        <bgColor rgb="FFDAE8F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7FBFF"/>
      </patternFill>
    </fill>
    <fill>
      <patternFill patternType="solid">
        <fgColor rgb="FFD9D9D9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7FB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4" fillId="0" borderId="1" xfId="0" applyFont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10" fontId="4" fillId="9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7" fontId="4" fillId="12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4" fillId="9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3" fontId="3" fillId="11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3" fontId="3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68" fontId="6" fillId="13" borderId="1" xfId="0" applyNumberFormat="1" applyFont="1" applyFill="1" applyBorder="1" applyAlignment="1">
      <alignment horizontal="center" vertical="center"/>
    </xf>
    <xf numFmtId="168" fontId="3" fillId="14" borderId="1" xfId="0" applyNumberFormat="1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/>
    </xf>
    <xf numFmtId="168" fontId="3" fillId="15" borderId="1" xfId="0" applyNumberFormat="1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168" fontId="4" fillId="8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67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8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9" fontId="12" fillId="5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169" fontId="4" fillId="8" borderId="1" xfId="0" applyNumberFormat="1" applyFont="1" applyFill="1" applyBorder="1" applyAlignment="1">
      <alignment horizontal="center" vertical="center"/>
    </xf>
    <xf numFmtId="169" fontId="4" fillId="9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center" vertical="center"/>
    </xf>
    <xf numFmtId="3" fontId="16" fillId="9" borderId="1" xfId="0" applyNumberFormat="1" applyFont="1" applyFill="1" applyBorder="1" applyAlignment="1">
      <alignment horizontal="center" vertical="center"/>
    </xf>
    <xf numFmtId="9" fontId="4" fillId="1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165" fontId="6" fillId="19" borderId="1" xfId="0" applyNumberFormat="1" applyFont="1" applyFill="1" applyBorder="1" applyAlignment="1">
      <alignment horizontal="center" vertical="center"/>
    </xf>
    <xf numFmtId="164" fontId="4" fillId="19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165" fontId="6" fillId="20" borderId="1" xfId="0" applyNumberFormat="1" applyFont="1" applyFill="1" applyBorder="1" applyAlignment="1">
      <alignment horizontal="center" vertical="center"/>
    </xf>
    <xf numFmtId="164" fontId="4" fillId="2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168" fontId="19" fillId="1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167" fontId="6" fillId="13" borderId="2" xfId="0" applyNumberFormat="1" applyFont="1" applyFill="1" applyBorder="1" applyAlignment="1">
      <alignment horizontal="center" vertical="center"/>
    </xf>
    <xf numFmtId="164" fontId="6" fillId="13" borderId="2" xfId="0" applyNumberFormat="1" applyFont="1" applyFill="1" applyBorder="1" applyAlignment="1">
      <alignment horizontal="center" vertical="center"/>
    </xf>
    <xf numFmtId="169" fontId="6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7030A0"/>
      <rgbColor rgb="FFFFF2CC"/>
      <rgbColor rgb="FFDAE8FC"/>
      <rgbColor rgb="FF660066"/>
      <rgbColor rgb="FFFF6B9D"/>
      <rgbColor rgb="FF2E75B6"/>
      <rgbColor rgb="FFD9D9D9"/>
      <rgbColor rgb="FF000080"/>
      <rgbColor rgb="FFFF00FF"/>
      <rgbColor rgb="FFF7FBFF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E2EFDA"/>
      <rgbColor rgb="FFFFE4F0"/>
      <rgbColor rgb="FFEBF1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70AD47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zoomScaleNormal="100" workbookViewId="0">
      <pane xSplit="3" ySplit="8" topLeftCell="D17" activePane="bottomRight" state="frozen"/>
      <selection pane="topRight" activeCell="D1" sqref="D1"/>
      <selection pane="bottomLeft" activeCell="A9" sqref="A9"/>
      <selection pane="bottomRight" activeCell="H15" sqref="H15"/>
    </sheetView>
  </sheetViews>
  <sheetFormatPr baseColWidth="10" defaultColWidth="8.6640625" defaultRowHeight="15" x14ac:dyDescent="0.2"/>
  <cols>
    <col min="1" max="1" width="6" customWidth="1"/>
    <col min="2" max="2" width="24" customWidth="1"/>
    <col min="3" max="3" width="18" customWidth="1"/>
    <col min="4" max="11" width="15" customWidth="1"/>
  </cols>
  <sheetData>
    <row r="1" spans="1:11" ht="31.5" customHeight="1" x14ac:dyDescent="0.2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5" customHeight="1" x14ac:dyDescent="0.2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4" spans="1:11" ht="15" customHeight="1" x14ac:dyDescent="0.2">
      <c r="A4" s="113" t="s">
        <v>2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1:11" ht="15" customHeight="1" x14ac:dyDescent="0.2">
      <c r="B5" s="1" t="s">
        <v>3</v>
      </c>
      <c r="C5" s="2" t="s">
        <v>4</v>
      </c>
      <c r="D5" s="3"/>
      <c r="E5" s="3"/>
      <c r="F5" s="3"/>
      <c r="G5" s="3"/>
      <c r="H5" s="3"/>
      <c r="I5" s="3"/>
      <c r="J5" s="3"/>
      <c r="K5" s="3"/>
    </row>
    <row r="6" spans="1:11" ht="15" customHeight="1" x14ac:dyDescent="0.2">
      <c r="B6" s="1" t="s">
        <v>5</v>
      </c>
      <c r="C6" s="4">
        <v>0.15</v>
      </c>
      <c r="D6" s="3"/>
      <c r="E6" s="3"/>
      <c r="F6" s="3"/>
      <c r="G6" s="3"/>
      <c r="H6" s="3"/>
      <c r="I6" s="3"/>
      <c r="J6" s="3"/>
      <c r="K6" s="3"/>
    </row>
    <row r="7" spans="1:11" ht="15" customHeight="1" x14ac:dyDescent="0.2">
      <c r="B7" s="1" t="s">
        <v>6</v>
      </c>
      <c r="C7" s="5">
        <v>10</v>
      </c>
      <c r="D7" s="3"/>
      <c r="E7" s="3"/>
      <c r="F7" s="3"/>
      <c r="G7" s="3"/>
      <c r="H7" s="3"/>
      <c r="I7" s="3"/>
      <c r="J7" s="3"/>
      <c r="K7" s="3"/>
    </row>
    <row r="8" spans="1:11" ht="15" customHeight="1" x14ac:dyDescent="0.2">
      <c r="B8" s="1" t="s">
        <v>7</v>
      </c>
      <c r="C8" s="5">
        <v>360</v>
      </c>
      <c r="D8" s="3"/>
      <c r="E8" s="3"/>
      <c r="F8" s="3"/>
      <c r="G8" s="3"/>
      <c r="H8" s="3"/>
      <c r="I8" s="3"/>
      <c r="J8" s="3"/>
      <c r="K8" s="3"/>
    </row>
    <row r="10" spans="1:11" ht="15" customHeight="1" x14ac:dyDescent="0.2">
      <c r="A10" s="103" t="s">
        <v>8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</row>
    <row r="11" spans="1:11" ht="15" customHeight="1" x14ac:dyDescent="0.2">
      <c r="A11" s="6"/>
      <c r="B11" s="6" t="s">
        <v>9</v>
      </c>
      <c r="C11" s="6" t="s">
        <v>10</v>
      </c>
      <c r="D11" s="7" t="s">
        <v>11</v>
      </c>
      <c r="E11" s="8" t="s">
        <v>12</v>
      </c>
      <c r="F11" s="6" t="s">
        <v>13</v>
      </c>
      <c r="G11" s="7" t="s">
        <v>14</v>
      </c>
      <c r="H11" s="8" t="s">
        <v>15</v>
      </c>
      <c r="I11" s="7" t="s">
        <v>16</v>
      </c>
      <c r="J11" s="8" t="s">
        <v>17</v>
      </c>
      <c r="K11" s="6" t="s">
        <v>18</v>
      </c>
    </row>
    <row r="12" spans="1:11" ht="15" customHeight="1" x14ac:dyDescent="0.2">
      <c r="A12" s="9">
        <v>1</v>
      </c>
      <c r="B12" s="10" t="s">
        <v>19</v>
      </c>
      <c r="C12" s="11" t="s">
        <v>20</v>
      </c>
      <c r="D12" s="12">
        <v>4.5</v>
      </c>
      <c r="E12" s="12">
        <v>4.25</v>
      </c>
      <c r="F12" s="12">
        <v>1.2</v>
      </c>
      <c r="G12" s="13">
        <f t="shared" ref="G12:G22" si="0">IFERROR(F12/D12,0)</f>
        <v>0.26666666666666666</v>
      </c>
      <c r="H12" s="14">
        <f t="shared" ref="H12:H22" si="1">IFERROR(F12/E12,0)</f>
        <v>0.28235294117647058</v>
      </c>
      <c r="I12" s="15">
        <f t="shared" ref="I12:I22" si="2">D12-F12</f>
        <v>3.3</v>
      </c>
      <c r="J12" s="16">
        <f t="shared" ref="J12:J22" si="3">E12-F12</f>
        <v>3.05</v>
      </c>
      <c r="K12" s="17">
        <f t="shared" ref="K12:K22" si="4">J12-I12</f>
        <v>-0.25</v>
      </c>
    </row>
    <row r="13" spans="1:11" ht="15" customHeight="1" x14ac:dyDescent="0.2">
      <c r="A13" s="9">
        <v>2</v>
      </c>
      <c r="B13" s="10" t="s">
        <v>19</v>
      </c>
      <c r="C13" s="11" t="s">
        <v>21</v>
      </c>
      <c r="D13" s="12">
        <v>6.25</v>
      </c>
      <c r="E13" s="12">
        <v>4.95</v>
      </c>
      <c r="F13" s="12">
        <v>1.4</v>
      </c>
      <c r="G13" s="13">
        <f t="shared" si="0"/>
        <v>0.22399999999999998</v>
      </c>
      <c r="H13" s="14">
        <f t="shared" si="1"/>
        <v>0.28282828282828282</v>
      </c>
      <c r="I13" s="15">
        <f t="shared" si="2"/>
        <v>4.8499999999999996</v>
      </c>
      <c r="J13" s="16">
        <f t="shared" si="3"/>
        <v>3.5500000000000003</v>
      </c>
      <c r="K13" s="17">
        <f t="shared" si="4"/>
        <v>-1.2999999999999994</v>
      </c>
    </row>
    <row r="14" spans="1:11" ht="15" customHeight="1" x14ac:dyDescent="0.2">
      <c r="A14" s="9">
        <v>3</v>
      </c>
      <c r="B14" s="10" t="s">
        <v>19</v>
      </c>
      <c r="C14" s="11" t="s">
        <v>22</v>
      </c>
      <c r="D14" s="12">
        <v>6.25</v>
      </c>
      <c r="E14" s="12">
        <v>6.95</v>
      </c>
      <c r="F14" s="12">
        <v>2.1</v>
      </c>
      <c r="G14" s="13">
        <f t="shared" si="0"/>
        <v>0.33600000000000002</v>
      </c>
      <c r="H14" s="14">
        <f t="shared" si="1"/>
        <v>0.30215827338129497</v>
      </c>
      <c r="I14" s="15">
        <f t="shared" si="2"/>
        <v>4.1500000000000004</v>
      </c>
      <c r="J14" s="16">
        <f t="shared" si="3"/>
        <v>4.8499999999999996</v>
      </c>
      <c r="K14" s="18">
        <f t="shared" si="4"/>
        <v>0.69999999999999929</v>
      </c>
    </row>
    <row r="15" spans="1:11" ht="15" customHeight="1" x14ac:dyDescent="0.2">
      <c r="A15" s="9">
        <v>4</v>
      </c>
      <c r="B15" s="10" t="s">
        <v>19</v>
      </c>
      <c r="C15" s="11" t="s">
        <v>23</v>
      </c>
      <c r="D15" s="12">
        <v>11.45</v>
      </c>
      <c r="E15" s="12">
        <v>13.95</v>
      </c>
      <c r="F15" s="12">
        <v>4</v>
      </c>
      <c r="G15" s="13">
        <f t="shared" si="0"/>
        <v>0.3493449781659389</v>
      </c>
      <c r="H15" s="14">
        <f t="shared" si="1"/>
        <v>0.28673835125448033</v>
      </c>
      <c r="I15" s="15">
        <f t="shared" si="2"/>
        <v>7.4499999999999993</v>
      </c>
      <c r="J15" s="16">
        <f t="shared" si="3"/>
        <v>9.9499999999999993</v>
      </c>
      <c r="K15" s="18">
        <f t="shared" si="4"/>
        <v>2.5</v>
      </c>
    </row>
    <row r="16" spans="1:11" ht="15" customHeight="1" x14ac:dyDescent="0.2">
      <c r="A16" s="9">
        <v>5</v>
      </c>
      <c r="B16" s="10" t="s">
        <v>19</v>
      </c>
      <c r="C16" s="11" t="s">
        <v>24</v>
      </c>
      <c r="D16" s="12">
        <v>9.25</v>
      </c>
      <c r="E16" s="12">
        <v>10.45</v>
      </c>
      <c r="F16" s="12">
        <v>3</v>
      </c>
      <c r="G16" s="13">
        <f t="shared" si="0"/>
        <v>0.32432432432432434</v>
      </c>
      <c r="H16" s="14">
        <f t="shared" si="1"/>
        <v>0.28708133971291866</v>
      </c>
      <c r="I16" s="15">
        <f t="shared" si="2"/>
        <v>6.25</v>
      </c>
      <c r="J16" s="16">
        <f t="shared" si="3"/>
        <v>7.4499999999999993</v>
      </c>
      <c r="K16" s="18">
        <f t="shared" si="4"/>
        <v>1.1999999999999993</v>
      </c>
    </row>
    <row r="17" spans="1:11" ht="15" customHeight="1" x14ac:dyDescent="0.2">
      <c r="A17" s="9">
        <v>6</v>
      </c>
      <c r="B17" s="19" t="s">
        <v>25</v>
      </c>
      <c r="C17" s="20" t="s">
        <v>25</v>
      </c>
      <c r="D17" s="12">
        <v>6.25</v>
      </c>
      <c r="E17" s="12">
        <v>6.25</v>
      </c>
      <c r="F17" s="12">
        <v>0.67</v>
      </c>
      <c r="G17" s="13">
        <f t="shared" si="0"/>
        <v>0.1072</v>
      </c>
      <c r="H17" s="14">
        <f t="shared" si="1"/>
        <v>0.1072</v>
      </c>
      <c r="I17" s="15">
        <f t="shared" si="2"/>
        <v>5.58</v>
      </c>
      <c r="J17" s="16">
        <f t="shared" si="3"/>
        <v>5.58</v>
      </c>
      <c r="K17" s="18">
        <f t="shared" si="4"/>
        <v>0</v>
      </c>
    </row>
    <row r="18" spans="1:11" ht="15" customHeight="1" x14ac:dyDescent="0.2">
      <c r="A18" s="9">
        <v>7</v>
      </c>
      <c r="B18" s="21" t="s">
        <v>26</v>
      </c>
      <c r="C18" s="22" t="s">
        <v>27</v>
      </c>
      <c r="D18" s="12">
        <v>3.25</v>
      </c>
      <c r="E18" s="12">
        <v>3.75</v>
      </c>
      <c r="F18" s="12">
        <v>0.94</v>
      </c>
      <c r="G18" s="13">
        <f t="shared" si="0"/>
        <v>0.28923076923076924</v>
      </c>
      <c r="H18" s="14">
        <f t="shared" si="1"/>
        <v>0.25066666666666665</v>
      </c>
      <c r="I18" s="15">
        <f t="shared" si="2"/>
        <v>2.31</v>
      </c>
      <c r="J18" s="16">
        <f t="shared" si="3"/>
        <v>2.81</v>
      </c>
      <c r="K18" s="18">
        <f t="shared" si="4"/>
        <v>0.5</v>
      </c>
    </row>
    <row r="19" spans="1:11" ht="15" customHeight="1" x14ac:dyDescent="0.2">
      <c r="A19" s="9">
        <v>8</v>
      </c>
      <c r="B19" s="21" t="s">
        <v>26</v>
      </c>
      <c r="C19" s="22" t="s">
        <v>28</v>
      </c>
      <c r="D19" s="12">
        <v>2.75</v>
      </c>
      <c r="E19" s="12">
        <v>3.25</v>
      </c>
      <c r="F19" s="12">
        <v>0.94</v>
      </c>
      <c r="G19" s="13">
        <f t="shared" si="0"/>
        <v>0.3418181818181818</v>
      </c>
      <c r="H19" s="14">
        <f t="shared" si="1"/>
        <v>0.28923076923076924</v>
      </c>
      <c r="I19" s="15">
        <f t="shared" si="2"/>
        <v>1.81</v>
      </c>
      <c r="J19" s="16">
        <f t="shared" si="3"/>
        <v>2.31</v>
      </c>
      <c r="K19" s="18">
        <f t="shared" si="4"/>
        <v>0.5</v>
      </c>
    </row>
    <row r="20" spans="1:11" ht="15" customHeight="1" x14ac:dyDescent="0.2">
      <c r="A20" s="9">
        <v>9</v>
      </c>
      <c r="B20" s="21" t="s">
        <v>26</v>
      </c>
      <c r="C20" s="22" t="s">
        <v>29</v>
      </c>
      <c r="D20" s="12">
        <v>3.75</v>
      </c>
      <c r="E20" s="12">
        <v>4.75</v>
      </c>
      <c r="F20" s="12">
        <v>1.31</v>
      </c>
      <c r="G20" s="13">
        <f t="shared" si="0"/>
        <v>0.34933333333333333</v>
      </c>
      <c r="H20" s="14">
        <f t="shared" si="1"/>
        <v>0.27578947368421053</v>
      </c>
      <c r="I20" s="15">
        <f t="shared" si="2"/>
        <v>2.44</v>
      </c>
      <c r="J20" s="16">
        <f t="shared" si="3"/>
        <v>3.44</v>
      </c>
      <c r="K20" s="18">
        <f t="shared" si="4"/>
        <v>1</v>
      </c>
    </row>
    <row r="21" spans="1:11" ht="15" customHeight="1" x14ac:dyDescent="0.2">
      <c r="A21" s="9">
        <v>10</v>
      </c>
      <c r="B21" s="21" t="s">
        <v>26</v>
      </c>
      <c r="C21" s="22" t="s">
        <v>30</v>
      </c>
      <c r="D21" s="12">
        <v>4.25</v>
      </c>
      <c r="E21" s="12">
        <v>5.45</v>
      </c>
      <c r="F21" s="12">
        <v>1.59</v>
      </c>
      <c r="G21" s="13">
        <f t="shared" si="0"/>
        <v>0.37411764705882355</v>
      </c>
      <c r="H21" s="14">
        <f t="shared" si="1"/>
        <v>0.29174311926605506</v>
      </c>
      <c r="I21" s="15">
        <f t="shared" si="2"/>
        <v>2.66</v>
      </c>
      <c r="J21" s="16">
        <f t="shared" si="3"/>
        <v>3.8600000000000003</v>
      </c>
      <c r="K21" s="18">
        <f t="shared" si="4"/>
        <v>1.2000000000000002</v>
      </c>
    </row>
    <row r="22" spans="1:11" ht="15" customHeight="1" x14ac:dyDescent="0.2">
      <c r="A22" s="9">
        <v>11</v>
      </c>
      <c r="B22" s="21" t="s">
        <v>26</v>
      </c>
      <c r="C22" s="22" t="s">
        <v>31</v>
      </c>
      <c r="D22" s="12">
        <v>5.95</v>
      </c>
      <c r="E22" s="12">
        <v>6.25</v>
      </c>
      <c r="F22" s="12">
        <v>1.84</v>
      </c>
      <c r="G22" s="13">
        <f t="shared" si="0"/>
        <v>0.30924369747899161</v>
      </c>
      <c r="H22" s="14">
        <f t="shared" si="1"/>
        <v>0.2944</v>
      </c>
      <c r="I22" s="15">
        <f t="shared" si="2"/>
        <v>4.1100000000000003</v>
      </c>
      <c r="J22" s="16">
        <f t="shared" si="3"/>
        <v>4.41</v>
      </c>
      <c r="K22" s="18">
        <f t="shared" si="4"/>
        <v>0.29999999999999982</v>
      </c>
    </row>
    <row r="23" spans="1:11" ht="15" customHeight="1" x14ac:dyDescent="0.2">
      <c r="A23" s="114" t="s">
        <v>32</v>
      </c>
      <c r="B23" s="114"/>
      <c r="C23" s="114"/>
      <c r="D23" s="23">
        <f t="shared" ref="D23:K23" si="5">AVERAGE(D12:D22)</f>
        <v>5.8090909090909095</v>
      </c>
      <c r="E23" s="24">
        <f t="shared" si="5"/>
        <v>6.3863636363636367</v>
      </c>
      <c r="F23" s="25">
        <f t="shared" si="5"/>
        <v>1.7263636363636363</v>
      </c>
      <c r="G23" s="26">
        <f t="shared" si="5"/>
        <v>0.29738905437063906</v>
      </c>
      <c r="H23" s="27">
        <f t="shared" si="5"/>
        <v>0.26819901974555899</v>
      </c>
      <c r="I23" s="23">
        <f t="shared" si="5"/>
        <v>4.0827272727272721</v>
      </c>
      <c r="J23" s="24">
        <f t="shared" si="5"/>
        <v>4.66</v>
      </c>
      <c r="K23" s="25">
        <f t="shared" si="5"/>
        <v>0.57727272727272727</v>
      </c>
    </row>
    <row r="25" spans="1:11" ht="15" customHeight="1" x14ac:dyDescent="0.2">
      <c r="A25" s="113" t="s">
        <v>33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1:11" ht="23.25" customHeight="1" x14ac:dyDescent="0.2">
      <c r="B26" s="28" t="s">
        <v>34</v>
      </c>
      <c r="C26" s="6" t="s">
        <v>35</v>
      </c>
      <c r="D26" s="6" t="s">
        <v>36</v>
      </c>
      <c r="E26" s="29" t="s">
        <v>37</v>
      </c>
      <c r="F26" s="6" t="s">
        <v>38</v>
      </c>
      <c r="G26" s="3"/>
      <c r="H26" s="3"/>
      <c r="I26" s="3"/>
      <c r="J26" s="3"/>
      <c r="K26" s="3"/>
    </row>
    <row r="27" spans="1:11" ht="15" customHeight="1" x14ac:dyDescent="0.2">
      <c r="A27" s="3"/>
      <c r="B27" s="30" t="s">
        <v>39</v>
      </c>
      <c r="C27" s="31">
        <v>8500</v>
      </c>
      <c r="D27" s="32">
        <f t="shared" ref="D27:D34" si="6">C27*12</f>
        <v>102000</v>
      </c>
      <c r="E27" s="33" t="s">
        <v>40</v>
      </c>
      <c r="F27" s="3"/>
      <c r="G27" s="3"/>
      <c r="H27" s="3"/>
      <c r="I27" s="3"/>
      <c r="J27" s="3"/>
      <c r="K27" s="3"/>
    </row>
    <row r="28" spans="1:11" ht="15" customHeight="1" x14ac:dyDescent="0.2">
      <c r="A28" s="3"/>
      <c r="B28" s="30" t="s">
        <v>41</v>
      </c>
      <c r="C28" s="31">
        <v>3500</v>
      </c>
      <c r="D28" s="32">
        <f t="shared" si="6"/>
        <v>42000</v>
      </c>
      <c r="E28" s="33" t="s">
        <v>42</v>
      </c>
      <c r="F28" s="3"/>
      <c r="G28" s="3"/>
      <c r="H28" s="3"/>
      <c r="I28" s="3"/>
      <c r="J28" s="3"/>
      <c r="K28" s="3"/>
    </row>
    <row r="29" spans="1:11" ht="15" customHeight="1" x14ac:dyDescent="0.2">
      <c r="A29" s="3"/>
      <c r="B29" s="30" t="s">
        <v>43</v>
      </c>
      <c r="C29" s="31">
        <v>800</v>
      </c>
      <c r="D29" s="32">
        <f t="shared" si="6"/>
        <v>9600</v>
      </c>
      <c r="E29" s="33" t="s">
        <v>44</v>
      </c>
      <c r="F29" s="3"/>
      <c r="G29" s="3"/>
      <c r="H29" s="3"/>
      <c r="I29" s="3"/>
      <c r="J29" s="3"/>
      <c r="K29" s="3"/>
    </row>
    <row r="30" spans="1:11" ht="15" customHeight="1" x14ac:dyDescent="0.2">
      <c r="A30" s="3"/>
      <c r="B30" s="30" t="s">
        <v>45</v>
      </c>
      <c r="C30" s="31">
        <v>600</v>
      </c>
      <c r="D30" s="32">
        <f t="shared" si="6"/>
        <v>7200</v>
      </c>
      <c r="E30" s="33" t="s">
        <v>46</v>
      </c>
      <c r="F30" s="3"/>
      <c r="G30" s="3"/>
      <c r="H30" s="3"/>
      <c r="I30" s="3"/>
      <c r="J30" s="3"/>
      <c r="K30" s="3"/>
    </row>
    <row r="31" spans="1:11" ht="15" customHeight="1" x14ac:dyDescent="0.2">
      <c r="A31" s="3"/>
      <c r="B31" s="30" t="s">
        <v>47</v>
      </c>
      <c r="C31" s="31">
        <v>500</v>
      </c>
      <c r="D31" s="32">
        <f t="shared" si="6"/>
        <v>6000</v>
      </c>
      <c r="E31" s="33" t="s">
        <v>48</v>
      </c>
      <c r="F31" s="3"/>
      <c r="G31" s="3"/>
      <c r="H31" s="3"/>
      <c r="I31" s="3"/>
      <c r="J31" s="3"/>
      <c r="K31" s="3"/>
    </row>
    <row r="32" spans="1:11" ht="15" customHeight="1" x14ac:dyDescent="0.2">
      <c r="A32" s="3"/>
      <c r="B32" s="30" t="s">
        <v>49</v>
      </c>
      <c r="C32" s="31">
        <v>300</v>
      </c>
      <c r="D32" s="32">
        <f t="shared" si="6"/>
        <v>3600</v>
      </c>
      <c r="E32" s="33" t="s">
        <v>50</v>
      </c>
      <c r="F32" s="3"/>
      <c r="G32" s="3"/>
      <c r="H32" s="3"/>
      <c r="I32" s="3"/>
      <c r="J32" s="3"/>
      <c r="K32" s="3"/>
    </row>
    <row r="33" spans="1:11" ht="15" customHeight="1" x14ac:dyDescent="0.2">
      <c r="A33" s="3"/>
      <c r="B33" s="30" t="s">
        <v>51</v>
      </c>
      <c r="C33" s="31">
        <v>250</v>
      </c>
      <c r="D33" s="32">
        <f t="shared" si="6"/>
        <v>3000</v>
      </c>
      <c r="E33" s="33" t="s">
        <v>52</v>
      </c>
      <c r="F33" s="3"/>
      <c r="G33" s="3"/>
      <c r="H33" s="3"/>
      <c r="I33" s="3"/>
      <c r="J33" s="3"/>
      <c r="K33" s="3"/>
    </row>
    <row r="34" spans="1:11" ht="15" customHeight="1" x14ac:dyDescent="0.2">
      <c r="A34" s="3"/>
      <c r="B34" s="30" t="s">
        <v>53</v>
      </c>
      <c r="C34" s="31">
        <v>200</v>
      </c>
      <c r="D34" s="32">
        <f t="shared" si="6"/>
        <v>2400</v>
      </c>
      <c r="E34" s="33" t="s">
        <v>54</v>
      </c>
      <c r="F34" s="3"/>
      <c r="G34" s="3"/>
      <c r="H34" s="3"/>
      <c r="I34" s="3"/>
      <c r="J34" s="3"/>
      <c r="K34" s="3"/>
    </row>
    <row r="35" spans="1:11" ht="15" customHeight="1" x14ac:dyDescent="0.2">
      <c r="A35" s="34"/>
      <c r="B35" s="35" t="s">
        <v>55</v>
      </c>
      <c r="C35" s="36">
        <f>SUM(C27:C34)</f>
        <v>14650</v>
      </c>
      <c r="D35" s="36">
        <f>SUM(D27:D34)</f>
        <v>175800</v>
      </c>
      <c r="E35" s="3"/>
      <c r="F35" s="3"/>
      <c r="G35" s="3"/>
      <c r="H35" s="3"/>
      <c r="I35" s="3"/>
      <c r="J35" s="3"/>
      <c r="K35" s="3"/>
    </row>
    <row r="37" spans="1:11" ht="15" customHeight="1" x14ac:dyDescent="0.2">
      <c r="A37" s="113" t="s">
        <v>56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</row>
    <row r="38" spans="1:11" ht="15" customHeight="1" x14ac:dyDescent="0.2">
      <c r="A38" s="116" t="s">
        <v>57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</row>
    <row r="39" spans="1:11" ht="15" customHeight="1" x14ac:dyDescent="0.2">
      <c r="A39" s="117" t="s">
        <v>58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</row>
    <row r="40" spans="1:11" ht="15" customHeight="1" x14ac:dyDescent="0.2">
      <c r="A40" s="118" t="s">
        <v>59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</row>
    <row r="41" spans="1:11" ht="15" customHeight="1" x14ac:dyDescent="0.2">
      <c r="A41" s="115" t="s">
        <v>60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</row>
  </sheetData>
  <mergeCells count="11">
    <mergeCell ref="A41:K41"/>
    <mergeCell ref="A25:K25"/>
    <mergeCell ref="A37:K37"/>
    <mergeCell ref="A38:K38"/>
    <mergeCell ref="A39:K39"/>
    <mergeCell ref="A40:K40"/>
    <mergeCell ref="A1:K1"/>
    <mergeCell ref="A2:K2"/>
    <mergeCell ref="A4:K4"/>
    <mergeCell ref="A10:K10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4" sqref="D14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15" customWidth="1"/>
    <col min="4" max="11" width="14" customWidth="1"/>
  </cols>
  <sheetData>
    <row r="1" spans="1:11" ht="31.5" customHeight="1" x14ac:dyDescent="0.2">
      <c r="A1" s="111" t="s">
        <v>61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5" customHeight="1" x14ac:dyDescent="0.2">
      <c r="A2" s="112" t="s">
        <v>62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4" spans="1:11" ht="15" customHeight="1" x14ac:dyDescent="0.2">
      <c r="A4" s="103" t="s">
        <v>63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1" ht="15" customHeight="1" x14ac:dyDescent="0.2">
      <c r="A5" s="6"/>
      <c r="B5" s="6" t="s">
        <v>10</v>
      </c>
      <c r="C5" s="6" t="s">
        <v>9</v>
      </c>
      <c r="D5" s="6" t="s">
        <v>64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1" ht="15" customHeight="1" x14ac:dyDescent="0.2">
      <c r="A6" s="9">
        <v>1</v>
      </c>
      <c r="B6" s="11" t="s">
        <v>20</v>
      </c>
      <c r="C6" s="40" t="s">
        <v>19</v>
      </c>
      <c r="D6" s="5">
        <v>40</v>
      </c>
      <c r="E6" s="41">
        <f>D6*Inputs!$C$8</f>
        <v>14400</v>
      </c>
      <c r="F6" s="42">
        <f>E6*Inputs!D12</f>
        <v>64800</v>
      </c>
      <c r="G6" s="43">
        <f>E6*Inputs!E12</f>
        <v>61200</v>
      </c>
      <c r="H6" s="42">
        <f>E6*(Inputs!D12-Inputs!F12)</f>
        <v>47520</v>
      </c>
      <c r="I6" s="43">
        <f>E6*(Inputs!E12-Inputs!F12)</f>
        <v>43920</v>
      </c>
      <c r="J6" s="44">
        <f t="shared" ref="J6:J17" si="0">IFERROR(H6/F6,0)</f>
        <v>0.73333333333333328</v>
      </c>
      <c r="K6" s="45">
        <f t="shared" ref="K6:K17" si="1">IFERROR(I6/G6,0)</f>
        <v>0.71764705882352942</v>
      </c>
    </row>
    <row r="7" spans="1:11" ht="15" customHeight="1" x14ac:dyDescent="0.2">
      <c r="A7" s="9">
        <v>2</v>
      </c>
      <c r="B7" s="11" t="s">
        <v>21</v>
      </c>
      <c r="C7" s="40" t="s">
        <v>19</v>
      </c>
      <c r="D7" s="5">
        <v>40</v>
      </c>
      <c r="E7" s="41">
        <f>D7*Inputs!$C$8</f>
        <v>14400</v>
      </c>
      <c r="F7" s="42">
        <f>E7*Inputs!D13</f>
        <v>90000</v>
      </c>
      <c r="G7" s="43">
        <f>E7*Inputs!E13</f>
        <v>71280</v>
      </c>
      <c r="H7" s="42">
        <f>E7*(Inputs!D13-Inputs!F13)</f>
        <v>69840</v>
      </c>
      <c r="I7" s="43">
        <f>E7*(Inputs!E13-Inputs!F13)</f>
        <v>51120.000000000007</v>
      </c>
      <c r="J7" s="44">
        <f t="shared" si="0"/>
        <v>0.77600000000000002</v>
      </c>
      <c r="K7" s="45">
        <f t="shared" si="1"/>
        <v>0.71717171717171724</v>
      </c>
    </row>
    <row r="8" spans="1:11" ht="15" customHeight="1" x14ac:dyDescent="0.2">
      <c r="A8" s="9">
        <v>3</v>
      </c>
      <c r="B8" s="11" t="s">
        <v>22</v>
      </c>
      <c r="C8" s="40" t="s">
        <v>19</v>
      </c>
      <c r="D8" s="5">
        <v>20</v>
      </c>
      <c r="E8" s="41">
        <f>D8*Inputs!$C$8</f>
        <v>7200</v>
      </c>
      <c r="F8" s="42">
        <f>E8*Inputs!D14</f>
        <v>45000</v>
      </c>
      <c r="G8" s="43">
        <f>E8*Inputs!E14</f>
        <v>50040</v>
      </c>
      <c r="H8" s="42">
        <f>E8*(Inputs!D14-Inputs!F14)</f>
        <v>29880.000000000004</v>
      </c>
      <c r="I8" s="43">
        <f>E8*(Inputs!E14-Inputs!F14)</f>
        <v>34920</v>
      </c>
      <c r="J8" s="44">
        <f t="shared" si="0"/>
        <v>0.66400000000000003</v>
      </c>
      <c r="K8" s="45">
        <f t="shared" si="1"/>
        <v>0.69784172661870503</v>
      </c>
    </row>
    <row r="9" spans="1:11" ht="15" customHeight="1" x14ac:dyDescent="0.2">
      <c r="A9" s="9">
        <v>4</v>
      </c>
      <c r="B9" s="11" t="s">
        <v>23</v>
      </c>
      <c r="C9" s="40" t="s">
        <v>19</v>
      </c>
      <c r="D9" s="5">
        <v>10</v>
      </c>
      <c r="E9" s="41">
        <f>D9*Inputs!$C$8</f>
        <v>3600</v>
      </c>
      <c r="F9" s="42">
        <f>E9*Inputs!D15</f>
        <v>41220</v>
      </c>
      <c r="G9" s="43">
        <f>E9*Inputs!E15</f>
        <v>50220</v>
      </c>
      <c r="H9" s="42">
        <f>E9*(Inputs!D15-Inputs!F15)</f>
        <v>26819.999999999996</v>
      </c>
      <c r="I9" s="43">
        <f>E9*(Inputs!E15-Inputs!F15)</f>
        <v>35820</v>
      </c>
      <c r="J9" s="44">
        <f t="shared" si="0"/>
        <v>0.6506550218340611</v>
      </c>
      <c r="K9" s="45">
        <f t="shared" si="1"/>
        <v>0.71326164874551967</v>
      </c>
    </row>
    <row r="10" spans="1:11" ht="15" customHeight="1" x14ac:dyDescent="0.2">
      <c r="A10" s="9">
        <v>5</v>
      </c>
      <c r="B10" s="11" t="s">
        <v>24</v>
      </c>
      <c r="C10" s="40" t="s">
        <v>19</v>
      </c>
      <c r="D10" s="5">
        <v>10</v>
      </c>
      <c r="E10" s="41">
        <f>D10*Inputs!$C$8</f>
        <v>3600</v>
      </c>
      <c r="F10" s="42">
        <f>E10*Inputs!D16</f>
        <v>33300</v>
      </c>
      <c r="G10" s="43">
        <f>E10*Inputs!E16</f>
        <v>37620</v>
      </c>
      <c r="H10" s="42">
        <f>E10*(Inputs!D16-Inputs!F16)</f>
        <v>22500</v>
      </c>
      <c r="I10" s="43">
        <f>E10*(Inputs!E16-Inputs!F16)</f>
        <v>26819.999999999996</v>
      </c>
      <c r="J10" s="44">
        <f t="shared" si="0"/>
        <v>0.67567567567567566</v>
      </c>
      <c r="K10" s="45">
        <f t="shared" si="1"/>
        <v>0.71291866028708128</v>
      </c>
    </row>
    <row r="11" spans="1:11" ht="15" customHeight="1" x14ac:dyDescent="0.2">
      <c r="A11" s="9">
        <v>6</v>
      </c>
      <c r="B11" s="20" t="s">
        <v>25</v>
      </c>
      <c r="C11" s="46" t="s">
        <v>25</v>
      </c>
      <c r="D11" s="5">
        <v>30</v>
      </c>
      <c r="E11" s="41">
        <f>D11*Inputs!$C$8</f>
        <v>10800</v>
      </c>
      <c r="F11" s="42">
        <f>E11*Inputs!D17</f>
        <v>67500</v>
      </c>
      <c r="G11" s="43">
        <f>E11*Inputs!E17</f>
        <v>67500</v>
      </c>
      <c r="H11" s="42">
        <f>E11*(Inputs!D17-Inputs!F17)</f>
        <v>60264</v>
      </c>
      <c r="I11" s="43">
        <f>E11*(Inputs!E17-Inputs!F17)</f>
        <v>60264</v>
      </c>
      <c r="J11" s="44">
        <f t="shared" si="0"/>
        <v>0.89280000000000004</v>
      </c>
      <c r="K11" s="45">
        <f t="shared" si="1"/>
        <v>0.89280000000000004</v>
      </c>
    </row>
    <row r="12" spans="1:11" ht="15" customHeight="1" x14ac:dyDescent="0.2">
      <c r="A12" s="9">
        <v>7</v>
      </c>
      <c r="B12" s="22" t="s">
        <v>27</v>
      </c>
      <c r="C12" s="8" t="s">
        <v>26</v>
      </c>
      <c r="D12" s="5">
        <v>0</v>
      </c>
      <c r="E12" s="41">
        <f>D12*Inputs!$C$8</f>
        <v>0</v>
      </c>
      <c r="F12" s="42">
        <f>E12*Inputs!D18</f>
        <v>0</v>
      </c>
      <c r="G12" s="43">
        <f>E12*Inputs!E18</f>
        <v>0</v>
      </c>
      <c r="H12" s="42">
        <f>E12*(Inputs!D18-Inputs!F18)</f>
        <v>0</v>
      </c>
      <c r="I12" s="43">
        <f>E12*(Inputs!E18-Inputs!F18)</f>
        <v>0</v>
      </c>
      <c r="J12" s="44">
        <f t="shared" si="0"/>
        <v>0</v>
      </c>
      <c r="K12" s="45">
        <f t="shared" si="1"/>
        <v>0</v>
      </c>
    </row>
    <row r="13" spans="1:11" ht="15" customHeight="1" x14ac:dyDescent="0.2">
      <c r="A13" s="9">
        <v>8</v>
      </c>
      <c r="B13" s="22" t="s">
        <v>28</v>
      </c>
      <c r="C13" s="8" t="s">
        <v>26</v>
      </c>
      <c r="D13" s="5">
        <v>0</v>
      </c>
      <c r="E13" s="41">
        <f>D13*Inputs!$C$8</f>
        <v>0</v>
      </c>
      <c r="F13" s="42">
        <f>E13*Inputs!D19</f>
        <v>0</v>
      </c>
      <c r="G13" s="43">
        <f>E13*Inputs!E19</f>
        <v>0</v>
      </c>
      <c r="H13" s="42">
        <f>E13*(Inputs!D19-Inputs!F19)</f>
        <v>0</v>
      </c>
      <c r="I13" s="43">
        <f>E13*(Inputs!E19-Inputs!F19)</f>
        <v>0</v>
      </c>
      <c r="J13" s="44">
        <f t="shared" si="0"/>
        <v>0</v>
      </c>
      <c r="K13" s="45">
        <f t="shared" si="1"/>
        <v>0</v>
      </c>
    </row>
    <row r="14" spans="1:11" ht="15" customHeight="1" x14ac:dyDescent="0.2">
      <c r="A14" s="9">
        <v>9</v>
      </c>
      <c r="B14" s="22" t="s">
        <v>29</v>
      </c>
      <c r="C14" s="8" t="s">
        <v>26</v>
      </c>
      <c r="D14" s="5">
        <v>5</v>
      </c>
      <c r="E14" s="41">
        <f>D14*Inputs!$C$8</f>
        <v>1800</v>
      </c>
      <c r="F14" s="42">
        <f>E14*Inputs!D20</f>
        <v>6750</v>
      </c>
      <c r="G14" s="43">
        <f>E14*Inputs!E20</f>
        <v>8550</v>
      </c>
      <c r="H14" s="42">
        <f>E14*(Inputs!D20-Inputs!F20)</f>
        <v>4392</v>
      </c>
      <c r="I14" s="43">
        <f>E14*(Inputs!E20-Inputs!F20)</f>
        <v>6192</v>
      </c>
      <c r="J14" s="44">
        <f t="shared" si="0"/>
        <v>0.65066666666666662</v>
      </c>
      <c r="K14" s="45">
        <f t="shared" si="1"/>
        <v>0.72421052631578953</v>
      </c>
    </row>
    <row r="15" spans="1:11" ht="15" customHeight="1" x14ac:dyDescent="0.2">
      <c r="A15" s="9">
        <v>10</v>
      </c>
      <c r="B15" s="22" t="s">
        <v>30</v>
      </c>
      <c r="C15" s="8" t="s">
        <v>26</v>
      </c>
      <c r="D15" s="5">
        <v>5</v>
      </c>
      <c r="E15" s="41">
        <f>D15*Inputs!$C$8</f>
        <v>1800</v>
      </c>
      <c r="F15" s="42">
        <f>E15*Inputs!D21</f>
        <v>7650</v>
      </c>
      <c r="G15" s="43">
        <f>E15*Inputs!E21</f>
        <v>9810</v>
      </c>
      <c r="H15" s="42">
        <f>E15*(Inputs!D21-Inputs!F21)</f>
        <v>4788</v>
      </c>
      <c r="I15" s="43">
        <f>E15*(Inputs!E21-Inputs!F21)</f>
        <v>6948.0000000000009</v>
      </c>
      <c r="J15" s="44">
        <f t="shared" si="0"/>
        <v>0.62588235294117645</v>
      </c>
      <c r="K15" s="45">
        <f t="shared" si="1"/>
        <v>0.70825688073394499</v>
      </c>
    </row>
    <row r="16" spans="1:11" ht="15" customHeight="1" x14ac:dyDescent="0.2">
      <c r="A16" s="9">
        <v>11</v>
      </c>
      <c r="B16" s="22" t="s">
        <v>31</v>
      </c>
      <c r="C16" s="8" t="s">
        <v>26</v>
      </c>
      <c r="D16" s="5">
        <v>25</v>
      </c>
      <c r="E16" s="41">
        <f>D16*Inputs!$C$8</f>
        <v>9000</v>
      </c>
      <c r="F16" s="42">
        <f>E16*Inputs!D22</f>
        <v>53550</v>
      </c>
      <c r="G16" s="43">
        <f>E16*Inputs!E22</f>
        <v>56250</v>
      </c>
      <c r="H16" s="42">
        <f>E16*(Inputs!D22-Inputs!F22)</f>
        <v>36990</v>
      </c>
      <c r="I16" s="43">
        <f>E16*(Inputs!E22-Inputs!F22)</f>
        <v>39690</v>
      </c>
      <c r="J16" s="44">
        <f t="shared" si="0"/>
        <v>0.69075630252100839</v>
      </c>
      <c r="K16" s="45">
        <f t="shared" si="1"/>
        <v>0.7056</v>
      </c>
    </row>
    <row r="17" spans="1:11" ht="15" customHeight="1" x14ac:dyDescent="0.2">
      <c r="A17" s="114" t="s">
        <v>72</v>
      </c>
      <c r="B17" s="114"/>
      <c r="C17" s="114"/>
      <c r="D17" s="47">
        <f t="shared" ref="D17:I17" si="2">SUM(D6:D16)</f>
        <v>185</v>
      </c>
      <c r="E17" s="47">
        <f t="shared" si="2"/>
        <v>66600</v>
      </c>
      <c r="F17" s="48">
        <f t="shared" si="2"/>
        <v>409770</v>
      </c>
      <c r="G17" s="49">
        <f t="shared" si="2"/>
        <v>412470</v>
      </c>
      <c r="H17" s="48">
        <f t="shared" si="2"/>
        <v>302994</v>
      </c>
      <c r="I17" s="49">
        <f t="shared" si="2"/>
        <v>305694</v>
      </c>
      <c r="J17" s="50">
        <f t="shared" si="0"/>
        <v>0.73942455523830442</v>
      </c>
      <c r="K17" s="51">
        <f t="shared" si="1"/>
        <v>0.74113026401920135</v>
      </c>
    </row>
    <row r="19" spans="1:11" ht="15" customHeight="1" x14ac:dyDescent="0.2">
      <c r="A19" s="103" t="s">
        <v>73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</row>
    <row r="20" spans="1:11" ht="15" customHeight="1" x14ac:dyDescent="0.2">
      <c r="A20" s="6"/>
      <c r="B20" s="6" t="s">
        <v>9</v>
      </c>
      <c r="C20" s="6" t="s">
        <v>64</v>
      </c>
      <c r="D20" s="6" t="s">
        <v>65</v>
      </c>
      <c r="E20" s="6" t="s">
        <v>74</v>
      </c>
      <c r="F20" s="6" t="s">
        <v>66</v>
      </c>
      <c r="G20" s="6" t="s">
        <v>67</v>
      </c>
      <c r="H20" s="6" t="s">
        <v>75</v>
      </c>
      <c r="I20" s="6" t="s">
        <v>76</v>
      </c>
      <c r="J20" s="6" t="s">
        <v>70</v>
      </c>
      <c r="K20" s="6" t="s">
        <v>71</v>
      </c>
    </row>
    <row r="21" spans="1:11" ht="15" customHeight="1" x14ac:dyDescent="0.2">
      <c r="A21" s="3"/>
      <c r="B21" s="52" t="s">
        <v>19</v>
      </c>
      <c r="C21" s="53">
        <f>SUM(D6,D7,D8,D9,D10)</f>
        <v>120</v>
      </c>
      <c r="D21" s="53">
        <f>SUM(E6,E7,E8,E9,E10)</f>
        <v>43200</v>
      </c>
      <c r="E21" s="54">
        <f>IFERROR(G21/G17,0)</f>
        <v>0.65546585206196817</v>
      </c>
      <c r="F21" s="48">
        <f>SUM(F6,F7,F8,F9,F10)</f>
        <v>274320</v>
      </c>
      <c r="G21" s="49">
        <f>SUM(G6,G7,G8,G9,G10)</f>
        <v>270360</v>
      </c>
      <c r="H21" s="48">
        <f>SUM(H6,H7,H8,H9,H10)</f>
        <v>196560</v>
      </c>
      <c r="I21" s="49">
        <f>SUM(I6,I7,I8,I9,I10)</f>
        <v>192600</v>
      </c>
      <c r="J21" s="50">
        <f t="shared" ref="J21:K23" si="3">IFERROR(H21/F21,0)</f>
        <v>0.71653543307086609</v>
      </c>
      <c r="K21" s="51">
        <f t="shared" si="3"/>
        <v>0.7123834886817576</v>
      </c>
    </row>
    <row r="22" spans="1:11" ht="15" customHeight="1" x14ac:dyDescent="0.2">
      <c r="A22" s="3"/>
      <c r="B22" s="55" t="s">
        <v>25</v>
      </c>
      <c r="C22" s="56">
        <f>SUM(D11)</f>
        <v>30</v>
      </c>
      <c r="D22" s="56">
        <f>SUM(E11)</f>
        <v>10800</v>
      </c>
      <c r="E22" s="54">
        <f>IFERROR(G22/G17,0)</f>
        <v>0.16364826532838753</v>
      </c>
      <c r="F22" s="48">
        <f>SUM(F11)</f>
        <v>67500</v>
      </c>
      <c r="G22" s="49">
        <f>SUM(G11)</f>
        <v>67500</v>
      </c>
      <c r="H22" s="48">
        <f>SUM(H11)</f>
        <v>60264</v>
      </c>
      <c r="I22" s="49">
        <f>SUM(I11)</f>
        <v>60264</v>
      </c>
      <c r="J22" s="50">
        <f t="shared" si="3"/>
        <v>0.89280000000000004</v>
      </c>
      <c r="K22" s="51">
        <f t="shared" si="3"/>
        <v>0.89280000000000004</v>
      </c>
    </row>
    <row r="23" spans="1:11" ht="15" customHeight="1" x14ac:dyDescent="0.2">
      <c r="A23" s="3"/>
      <c r="B23" s="57" t="s">
        <v>26</v>
      </c>
      <c r="C23" s="58">
        <f>SUM(D12,D13,D14,D15,D16)</f>
        <v>35</v>
      </c>
      <c r="D23" s="58">
        <f>SUM(E12,E13,E14,E15,E16)</f>
        <v>12600</v>
      </c>
      <c r="E23" s="54">
        <f>IFERROR(G23/G17,0)</f>
        <v>0.18088588260964433</v>
      </c>
      <c r="F23" s="48">
        <f>SUM(F12,F13,F14,F15,F16)</f>
        <v>67950</v>
      </c>
      <c r="G23" s="49">
        <f>SUM(G12,G13,G14,G15,G16)</f>
        <v>74610</v>
      </c>
      <c r="H23" s="48">
        <f>SUM(H12,H13,H14,H15,H16)</f>
        <v>46170</v>
      </c>
      <c r="I23" s="49">
        <f>SUM(I12,I13,I14,I15,I16)</f>
        <v>52830</v>
      </c>
      <c r="J23" s="50">
        <f t="shared" si="3"/>
        <v>0.67947019867549674</v>
      </c>
      <c r="K23" s="51">
        <f t="shared" si="3"/>
        <v>0.70808202653799757</v>
      </c>
    </row>
  </sheetData>
  <mergeCells count="5">
    <mergeCell ref="A1:K1"/>
    <mergeCell ref="A2:K2"/>
    <mergeCell ref="A4:K4"/>
    <mergeCell ref="A17:C17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Normal="100" workbookViewId="0">
      <pane ySplit="4" topLeftCell="A13" activePane="bottomLeft" state="frozen"/>
      <selection pane="bottomLeft" activeCell="B38" sqref="B38"/>
    </sheetView>
  </sheetViews>
  <sheetFormatPr baseColWidth="10" defaultColWidth="8.6640625" defaultRowHeight="15" x14ac:dyDescent="0.2"/>
  <cols>
    <col min="1" max="1" width="32" customWidth="1"/>
    <col min="2" max="2" width="18" customWidth="1"/>
    <col min="3" max="3" width="14" customWidth="1"/>
    <col min="4" max="4" width="5" customWidth="1"/>
    <col min="5" max="5" width="18" customWidth="1"/>
    <col min="6" max="7" width="14" customWidth="1"/>
  </cols>
  <sheetData>
    <row r="1" spans="1:7" ht="31.5" customHeight="1" x14ac:dyDescent="0.2">
      <c r="A1" s="111" t="s">
        <v>77</v>
      </c>
      <c r="B1" s="111"/>
      <c r="C1" s="111"/>
      <c r="D1" s="111"/>
      <c r="E1" s="111"/>
      <c r="F1" s="111"/>
      <c r="G1" s="111"/>
    </row>
    <row r="2" spans="1:7" ht="15" customHeight="1" x14ac:dyDescent="0.2">
      <c r="A2" s="112" t="s">
        <v>78</v>
      </c>
      <c r="B2" s="112"/>
      <c r="C2" s="112"/>
      <c r="D2" s="112"/>
      <c r="E2" s="112"/>
      <c r="F2" s="112"/>
      <c r="G2" s="112"/>
    </row>
    <row r="4" spans="1:7" ht="15" customHeight="1" x14ac:dyDescent="0.2">
      <c r="A4" s="6" t="s">
        <v>79</v>
      </c>
      <c r="B4" s="7" t="s">
        <v>80</v>
      </c>
      <c r="C4" s="7" t="s">
        <v>81</v>
      </c>
      <c r="D4" s="59"/>
      <c r="E4" s="8" t="s">
        <v>82</v>
      </c>
      <c r="F4" s="8" t="s">
        <v>83</v>
      </c>
      <c r="G4" s="60" t="s">
        <v>84</v>
      </c>
    </row>
    <row r="5" spans="1:7" ht="18" customHeight="1" x14ac:dyDescent="0.2">
      <c r="A5" s="103" t="s">
        <v>85</v>
      </c>
      <c r="B5" s="103"/>
      <c r="C5" s="103"/>
      <c r="D5" s="103"/>
      <c r="E5" s="103"/>
      <c r="F5" s="103"/>
      <c r="G5" s="103"/>
    </row>
    <row r="6" spans="1:7" ht="15" customHeight="1" x14ac:dyDescent="0.2">
      <c r="A6" s="11" t="s">
        <v>86</v>
      </c>
      <c r="B6" s="42">
        <f>'Sales Mix Simulator'!F21</f>
        <v>274320</v>
      </c>
      <c r="C6" s="44">
        <f>IFERROR(B6/'Sales Mix Simulator'!F17,0)</f>
        <v>0.6694487151328794</v>
      </c>
      <c r="D6" s="3"/>
      <c r="E6" s="43">
        <f>'Sales Mix Simulator'!G21</f>
        <v>270360</v>
      </c>
      <c r="F6" s="45">
        <f>IFERROR(E6/'Sales Mix Simulator'!G17,0)</f>
        <v>0.65546585206196817</v>
      </c>
      <c r="G6" s="61">
        <f>E6-B6</f>
        <v>-3960</v>
      </c>
    </row>
    <row r="7" spans="1:7" ht="15" customHeight="1" x14ac:dyDescent="0.2">
      <c r="A7" s="20" t="s">
        <v>87</v>
      </c>
      <c r="B7" s="42">
        <f>'Sales Mix Simulator'!F22</f>
        <v>67500</v>
      </c>
      <c r="C7" s="44">
        <f>IFERROR(B7/'Sales Mix Simulator'!F17,0)</f>
        <v>0.16472655392049199</v>
      </c>
      <c r="D7" s="3"/>
      <c r="E7" s="43">
        <f>'Sales Mix Simulator'!G22</f>
        <v>67500</v>
      </c>
      <c r="F7" s="45">
        <f>IFERROR(E7/'Sales Mix Simulator'!G17,0)</f>
        <v>0.16364826532838753</v>
      </c>
      <c r="G7" s="61">
        <f>E7-B7</f>
        <v>0</v>
      </c>
    </row>
    <row r="8" spans="1:7" ht="15" customHeight="1" x14ac:dyDescent="0.2">
      <c r="A8" s="22" t="s">
        <v>88</v>
      </c>
      <c r="B8" s="42">
        <f>'Sales Mix Simulator'!F23</f>
        <v>67950</v>
      </c>
      <c r="C8" s="44">
        <f>IFERROR(B8/'Sales Mix Simulator'!F17,0)</f>
        <v>0.16582473094662858</v>
      </c>
      <c r="D8" s="3"/>
      <c r="E8" s="43">
        <f>'Sales Mix Simulator'!G23</f>
        <v>74610</v>
      </c>
      <c r="F8" s="45">
        <f>IFERROR(E8/'Sales Mix Simulator'!G17,0)</f>
        <v>0.18088588260964433</v>
      </c>
      <c r="G8" s="61">
        <f>E8-B8</f>
        <v>6660</v>
      </c>
    </row>
    <row r="9" spans="1:7" ht="15" customHeight="1" x14ac:dyDescent="0.2">
      <c r="A9" s="35" t="s">
        <v>89</v>
      </c>
      <c r="B9" s="62">
        <f>'Sales Mix Simulator'!F17</f>
        <v>409770</v>
      </c>
      <c r="C9" s="63">
        <f>IFERROR(B9/B9,0)</f>
        <v>1</v>
      </c>
      <c r="D9" s="3"/>
      <c r="E9" s="64">
        <f>'Sales Mix Simulator'!G17</f>
        <v>412470</v>
      </c>
      <c r="F9" s="65">
        <f>IFERROR(E9/E9,0)</f>
        <v>1</v>
      </c>
      <c r="G9" s="66">
        <f>E9-B9</f>
        <v>2700</v>
      </c>
    </row>
    <row r="11" spans="1:7" ht="18" customHeight="1" x14ac:dyDescent="0.2">
      <c r="A11" s="103" t="s">
        <v>90</v>
      </c>
      <c r="B11" s="103"/>
      <c r="C11" s="103"/>
      <c r="D11" s="103"/>
      <c r="E11" s="103"/>
      <c r="F11" s="103"/>
      <c r="G11" s="103"/>
    </row>
    <row r="12" spans="1:7" ht="15" customHeight="1" x14ac:dyDescent="0.2">
      <c r="A12" s="11" t="s">
        <v>91</v>
      </c>
      <c r="B12" s="42">
        <f>'Sales Mix Simulator'!F21-'Sales Mix Simulator'!H21</f>
        <v>77760</v>
      </c>
      <c r="C12" s="44">
        <f>IFERROR(B12/B9,0)</f>
        <v>0.18976499011640677</v>
      </c>
      <c r="D12" s="3"/>
      <c r="E12" s="43">
        <f>'Sales Mix Simulator'!G21-'Sales Mix Simulator'!I21</f>
        <v>77760</v>
      </c>
      <c r="F12" s="45">
        <f>IFERROR(E12/E9,0)</f>
        <v>0.18852280165830243</v>
      </c>
      <c r="G12" s="61">
        <f>E12-B12</f>
        <v>0</v>
      </c>
    </row>
    <row r="13" spans="1:7" ht="15" customHeight="1" x14ac:dyDescent="0.2">
      <c r="A13" s="20" t="s">
        <v>92</v>
      </c>
      <c r="B13" s="42">
        <f>'Sales Mix Simulator'!F22-'Sales Mix Simulator'!H22</f>
        <v>7236</v>
      </c>
      <c r="C13" s="44">
        <f>IFERROR(B13/B9,0)</f>
        <v>1.765868658027674E-2</v>
      </c>
      <c r="D13" s="3"/>
      <c r="E13" s="43">
        <f>'Sales Mix Simulator'!G22-'Sales Mix Simulator'!I22</f>
        <v>7236</v>
      </c>
      <c r="F13" s="45">
        <f>IFERROR(E13/E9,0)</f>
        <v>1.7543094043203141E-2</v>
      </c>
      <c r="G13" s="61">
        <f>E13-B13</f>
        <v>0</v>
      </c>
    </row>
    <row r="14" spans="1:7" ht="15" customHeight="1" x14ac:dyDescent="0.2">
      <c r="A14" s="22" t="s">
        <v>93</v>
      </c>
      <c r="B14" s="42">
        <f>'Sales Mix Simulator'!F23-'Sales Mix Simulator'!H23</f>
        <v>21780</v>
      </c>
      <c r="C14" s="44">
        <f>IFERROR(B14/B9,0)</f>
        <v>5.3151768065012081E-2</v>
      </c>
      <c r="D14" s="3"/>
      <c r="E14" s="43">
        <f>'Sales Mix Simulator'!G23-'Sales Mix Simulator'!I23</f>
        <v>21780</v>
      </c>
      <c r="F14" s="45">
        <f>IFERROR(E14/E9,0)</f>
        <v>5.2803840279293038E-2</v>
      </c>
      <c r="G14" s="61">
        <f>E14-B14</f>
        <v>0</v>
      </c>
    </row>
    <row r="15" spans="1:7" ht="15" customHeight="1" x14ac:dyDescent="0.2">
      <c r="A15" s="67" t="s">
        <v>94</v>
      </c>
      <c r="B15" s="68">
        <f>B12+B13+B14</f>
        <v>106776</v>
      </c>
      <c r="C15" s="50">
        <f>IFERROR(B15/B9,0)</f>
        <v>0.26057544476169558</v>
      </c>
      <c r="D15" s="3"/>
      <c r="E15" s="69">
        <f>E12+E13+E14</f>
        <v>106776</v>
      </c>
      <c r="F15" s="51">
        <f>IFERROR(E15/E9,0)</f>
        <v>0.2588697359807986</v>
      </c>
      <c r="G15" s="66">
        <f>E15-B15</f>
        <v>0</v>
      </c>
    </row>
    <row r="16" spans="1:7" ht="15" customHeight="1" x14ac:dyDescent="0.2">
      <c r="A16" s="70" t="s">
        <v>95</v>
      </c>
      <c r="B16" s="68">
        <f>B9-B15</f>
        <v>302994</v>
      </c>
      <c r="C16" s="50">
        <f>IFERROR(B16/B9,0)</f>
        <v>0.73942455523830442</v>
      </c>
      <c r="D16" s="3"/>
      <c r="E16" s="69">
        <f>E9-E15</f>
        <v>305694</v>
      </c>
      <c r="F16" s="51">
        <f>IFERROR(E16/E9,0)</f>
        <v>0.74113026401920135</v>
      </c>
      <c r="G16" s="66">
        <f>E16-B16</f>
        <v>2700</v>
      </c>
    </row>
    <row r="18" spans="1:7" ht="18" customHeight="1" x14ac:dyDescent="0.2">
      <c r="A18" s="103" t="s">
        <v>96</v>
      </c>
      <c r="B18" s="103"/>
      <c r="C18" s="103"/>
      <c r="D18" s="103"/>
      <c r="E18" s="103"/>
      <c r="F18" s="103"/>
      <c r="G18" s="103"/>
    </row>
    <row r="19" spans="1:7" ht="15" customHeight="1" x14ac:dyDescent="0.2">
      <c r="A19" s="30" t="s">
        <v>97</v>
      </c>
      <c r="B19" s="71">
        <f>Inputs!D27</f>
        <v>102000</v>
      </c>
      <c r="C19" s="72">
        <f>IFERROR(B19/B9,0)</f>
        <v>0.24892012592429899</v>
      </c>
      <c r="D19" s="3"/>
      <c r="E19" s="71">
        <f>Inputs!D27</f>
        <v>102000</v>
      </c>
      <c r="F19" s="72">
        <f>IFERROR(E19/E9,0)</f>
        <v>0.24729071205178557</v>
      </c>
      <c r="G19" s="71">
        <f>0</f>
        <v>0</v>
      </c>
    </row>
    <row r="20" spans="1:7" ht="15" customHeight="1" x14ac:dyDescent="0.2">
      <c r="A20" s="30" t="s">
        <v>98</v>
      </c>
      <c r="B20" s="71">
        <f>Inputs!D28</f>
        <v>42000</v>
      </c>
      <c r="C20" s="72">
        <f>IFERROR(B20/B9,0)</f>
        <v>0.10249652243941723</v>
      </c>
      <c r="D20" s="3"/>
      <c r="E20" s="71">
        <f>Inputs!D28</f>
        <v>42000</v>
      </c>
      <c r="F20" s="72">
        <f>IFERROR(E20/E9,0)</f>
        <v>0.10182558731544113</v>
      </c>
      <c r="G20" s="71">
        <f>0</f>
        <v>0</v>
      </c>
    </row>
    <row r="21" spans="1:7" ht="15" customHeight="1" x14ac:dyDescent="0.2">
      <c r="A21" s="30" t="s">
        <v>99</v>
      </c>
      <c r="B21" s="71">
        <f>Inputs!D29</f>
        <v>9600</v>
      </c>
      <c r="C21" s="72">
        <f>IFERROR(B21/B9,0)</f>
        <v>2.3427776557581083E-2</v>
      </c>
      <c r="D21" s="3"/>
      <c r="E21" s="71">
        <f>Inputs!D29</f>
        <v>9600</v>
      </c>
      <c r="F21" s="72">
        <f>IFERROR(E21/E9,0)</f>
        <v>2.3274419957815113E-2</v>
      </c>
      <c r="G21" s="71">
        <f>0</f>
        <v>0</v>
      </c>
    </row>
    <row r="22" spans="1:7" ht="15" customHeight="1" x14ac:dyDescent="0.2">
      <c r="A22" s="30" t="s">
        <v>100</v>
      </c>
      <c r="B22" s="71">
        <f>Inputs!D30</f>
        <v>7200</v>
      </c>
      <c r="C22" s="72">
        <f>IFERROR(B22/B9,0)</f>
        <v>1.757083241818581E-2</v>
      </c>
      <c r="D22" s="3"/>
      <c r="E22" s="71">
        <f>Inputs!D30</f>
        <v>7200</v>
      </c>
      <c r="F22" s="72">
        <f>IFERROR(E22/E9,0)</f>
        <v>1.7455814968361336E-2</v>
      </c>
      <c r="G22" s="71">
        <f>0</f>
        <v>0</v>
      </c>
    </row>
    <row r="23" spans="1:7" ht="15" customHeight="1" x14ac:dyDescent="0.2">
      <c r="A23" s="30" t="s">
        <v>101</v>
      </c>
      <c r="B23" s="71">
        <f>Inputs!D31</f>
        <v>6000</v>
      </c>
      <c r="C23" s="72">
        <f>IFERROR(B23/B9,0)</f>
        <v>1.4642360348488176E-2</v>
      </c>
      <c r="D23" s="3"/>
      <c r="E23" s="71">
        <f>Inputs!D31</f>
        <v>6000</v>
      </c>
      <c r="F23" s="72">
        <f>IFERROR(E23/E9,0)</f>
        <v>1.4546512473634447E-2</v>
      </c>
      <c r="G23" s="71">
        <f>0</f>
        <v>0</v>
      </c>
    </row>
    <row r="24" spans="1:7" ht="15" customHeight="1" x14ac:dyDescent="0.2">
      <c r="A24" s="30" t="s">
        <v>102</v>
      </c>
      <c r="B24" s="71">
        <f>Inputs!D32</f>
        <v>3600</v>
      </c>
      <c r="C24" s="72">
        <f>IFERROR(B24/B9,0)</f>
        <v>8.7854162090929052E-3</v>
      </c>
      <c r="D24" s="3"/>
      <c r="E24" s="71">
        <f>Inputs!D32</f>
        <v>3600</v>
      </c>
      <c r="F24" s="72">
        <f>IFERROR(E24/E9,0)</f>
        <v>8.7279074841806678E-3</v>
      </c>
      <c r="G24" s="71">
        <f>0</f>
        <v>0</v>
      </c>
    </row>
    <row r="25" spans="1:7" ht="15" customHeight="1" x14ac:dyDescent="0.2">
      <c r="A25" s="30" t="s">
        <v>103</v>
      </c>
      <c r="B25" s="71">
        <f>Inputs!D33</f>
        <v>3000</v>
      </c>
      <c r="C25" s="72">
        <f>IFERROR(B25/B9,0)</f>
        <v>7.321180174244088E-3</v>
      </c>
      <c r="D25" s="3"/>
      <c r="E25" s="71">
        <f>Inputs!D33</f>
        <v>3000</v>
      </c>
      <c r="F25" s="72">
        <f>IFERROR(E25/E9,0)</f>
        <v>7.2732562368172235E-3</v>
      </c>
      <c r="G25" s="71">
        <f>0</f>
        <v>0</v>
      </c>
    </row>
    <row r="26" spans="1:7" ht="15" customHeight="1" x14ac:dyDescent="0.2">
      <c r="A26" s="30" t="s">
        <v>104</v>
      </c>
      <c r="B26" s="71">
        <f>Inputs!D34</f>
        <v>2400</v>
      </c>
      <c r="C26" s="72">
        <f>IFERROR(B26/B9,0)</f>
        <v>5.8569441393952707E-3</v>
      </c>
      <c r="D26" s="3"/>
      <c r="E26" s="71">
        <f>Inputs!D34</f>
        <v>2400</v>
      </c>
      <c r="F26" s="72">
        <f>IFERROR(E26/E9,0)</f>
        <v>5.8186049894537782E-3</v>
      </c>
      <c r="G26" s="71">
        <f>0</f>
        <v>0</v>
      </c>
    </row>
    <row r="27" spans="1:7" ht="15" customHeight="1" x14ac:dyDescent="0.2">
      <c r="A27" s="73" t="s">
        <v>105</v>
      </c>
      <c r="B27" s="74">
        <f>Inputs!D35</f>
        <v>175800</v>
      </c>
      <c r="C27" s="75">
        <f>IFERROR(B27/B9,0)</f>
        <v>0.42902115821070358</v>
      </c>
      <c r="D27" s="3"/>
      <c r="E27" s="74">
        <f>Inputs!D35</f>
        <v>175800</v>
      </c>
      <c r="F27" s="75">
        <f>IFERROR(E27/E9,0)</f>
        <v>0.42621281547748929</v>
      </c>
      <c r="G27" s="66">
        <f>E27-B27</f>
        <v>0</v>
      </c>
    </row>
    <row r="29" spans="1:7" ht="15" customHeight="1" x14ac:dyDescent="0.2">
      <c r="A29" s="70" t="s">
        <v>106</v>
      </c>
      <c r="B29" s="68">
        <f>B16-B27</f>
        <v>127194</v>
      </c>
      <c r="C29" s="50">
        <f>IFERROR(B29/B9,0)</f>
        <v>0.31040339702760084</v>
      </c>
      <c r="D29" s="3"/>
      <c r="E29" s="69">
        <f>E16-E27</f>
        <v>129894</v>
      </c>
      <c r="F29" s="51">
        <f>IFERROR(E29/E9,0)</f>
        <v>0.31491744854171211</v>
      </c>
      <c r="G29" s="66">
        <f>E29-B29</f>
        <v>2700</v>
      </c>
    </row>
    <row r="30" spans="1:7" ht="15" customHeight="1" x14ac:dyDescent="0.2">
      <c r="A30" s="76" t="s">
        <v>107</v>
      </c>
      <c r="B30" s="77">
        <v>0.08</v>
      </c>
      <c r="C30" s="3"/>
      <c r="D30" s="3"/>
      <c r="E30" s="3"/>
      <c r="F30" s="3"/>
      <c r="G30" s="3"/>
    </row>
    <row r="31" spans="1:7" ht="15" customHeight="1" x14ac:dyDescent="0.2">
      <c r="A31" s="35" t="s">
        <v>108</v>
      </c>
      <c r="B31" s="62">
        <f>B29*(1-B30)</f>
        <v>117018.48000000001</v>
      </c>
      <c r="C31" s="63">
        <f>IFERROR(B31/B9,0)</f>
        <v>0.2855711252653928</v>
      </c>
      <c r="D31" s="3"/>
      <c r="E31" s="64">
        <f>E29*(1-B30)</f>
        <v>119502.48000000001</v>
      </c>
      <c r="F31" s="65">
        <f>IFERROR(E31/E9,0)</f>
        <v>0.2897240526583752</v>
      </c>
      <c r="G31" s="100">
        <f>E31-B31</f>
        <v>2484</v>
      </c>
    </row>
    <row r="33" spans="1:7" ht="15" customHeight="1" x14ac:dyDescent="0.2">
      <c r="A33" s="119" t="s">
        <v>109</v>
      </c>
      <c r="B33" s="119"/>
      <c r="C33" s="119"/>
      <c r="D33" s="119"/>
      <c r="E33" s="119"/>
      <c r="F33" s="119"/>
      <c r="G33" s="119"/>
    </row>
    <row r="34" spans="1:7" ht="15" customHeight="1" x14ac:dyDescent="0.2">
      <c r="A34" s="1" t="s">
        <v>5</v>
      </c>
      <c r="B34" s="54">
        <f>Inputs!C6</f>
        <v>0.15</v>
      </c>
      <c r="C34" s="78"/>
      <c r="D34" s="3"/>
      <c r="E34" s="78"/>
      <c r="F34" s="78"/>
      <c r="G34" s="78"/>
    </row>
    <row r="35" spans="1:7" ht="15" customHeight="1" x14ac:dyDescent="0.2">
      <c r="A35" s="1" t="s">
        <v>110</v>
      </c>
      <c r="B35" s="50">
        <f>IFERROR(B31/B9,0)</f>
        <v>0.2855711252653928</v>
      </c>
      <c r="C35" s="79"/>
      <c r="D35" s="3"/>
      <c r="E35" s="79"/>
      <c r="F35" s="79"/>
      <c r="G35" s="79"/>
    </row>
    <row r="36" spans="1:7" ht="15" customHeight="1" x14ac:dyDescent="0.2">
      <c r="A36" s="1" t="s">
        <v>111</v>
      </c>
      <c r="B36" s="51">
        <f>IFERROR(E31/E9,0)</f>
        <v>0.2897240526583752</v>
      </c>
      <c r="C36" s="22"/>
      <c r="D36" s="3"/>
      <c r="E36" s="22"/>
      <c r="F36" s="22"/>
      <c r="G36" s="22"/>
    </row>
    <row r="37" spans="1:7" ht="15" customHeight="1" x14ac:dyDescent="0.2">
      <c r="A37" s="1" t="s">
        <v>112</v>
      </c>
      <c r="B37" s="80">
        <f>B35-B34</f>
        <v>0.13557112526539281</v>
      </c>
      <c r="C37" s="79"/>
      <c r="D37" s="3"/>
      <c r="E37" s="79"/>
      <c r="F37" s="79"/>
      <c r="G37" s="79"/>
    </row>
    <row r="38" spans="1:7" ht="15" customHeight="1" x14ac:dyDescent="0.2">
      <c r="A38" s="1" t="s">
        <v>113</v>
      </c>
      <c r="B38" s="81">
        <f>B36-B34</f>
        <v>0.1397240526583752</v>
      </c>
      <c r="C38" s="22"/>
      <c r="D38" s="3"/>
      <c r="E38" s="22"/>
      <c r="F38" s="22"/>
      <c r="G38" s="22"/>
    </row>
    <row r="39" spans="1:7" ht="15" customHeight="1" x14ac:dyDescent="0.2">
      <c r="A39" s="1" t="s">
        <v>114</v>
      </c>
      <c r="B39" s="48">
        <f>IFERROR((Inputs!D35+B15)/(1-Inputs!C5-IFERROR(B15/B9,0.3)),0)</f>
        <v>0</v>
      </c>
      <c r="C39" s="79"/>
      <c r="D39" s="3"/>
      <c r="E39" s="79"/>
      <c r="F39" s="79"/>
      <c r="G39" s="79"/>
    </row>
    <row r="40" spans="1:7" ht="15" customHeight="1" x14ac:dyDescent="0.2">
      <c r="A40" s="1" t="s">
        <v>115</v>
      </c>
      <c r="B40" s="49">
        <f>IFERROR((Inputs!D35+E15)/(1-Inputs!C5-IFERROR(E15/E9,0.3)),0)</f>
        <v>0</v>
      </c>
      <c r="C40" s="22"/>
      <c r="D40" s="3"/>
      <c r="E40" s="22"/>
      <c r="F40" s="22"/>
      <c r="G40" s="22"/>
    </row>
  </sheetData>
  <mergeCells count="6">
    <mergeCell ref="A33:G33"/>
    <mergeCell ref="A1:G1"/>
    <mergeCell ref="A2:G2"/>
    <mergeCell ref="A5:G5"/>
    <mergeCell ref="A11:G1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tabSelected="1" zoomScaleNormal="100" workbookViewId="0">
      <pane ySplit="4" topLeftCell="A5" activePane="bottomLeft" state="frozen"/>
      <selection pane="bottomLeft" activeCell="B28" sqref="B28:I28"/>
    </sheetView>
  </sheetViews>
  <sheetFormatPr baseColWidth="10" defaultColWidth="8.6640625" defaultRowHeight="15" x14ac:dyDescent="0.2"/>
  <cols>
    <col min="1" max="1" width="32" customWidth="1"/>
    <col min="2" max="2" width="16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9" width="18" customWidth="1"/>
  </cols>
  <sheetData>
    <row r="1" spans="1:9" ht="31.5" customHeight="1" x14ac:dyDescent="0.2">
      <c r="A1" s="101" t="s">
        <v>116</v>
      </c>
      <c r="B1" s="101"/>
      <c r="C1" s="101"/>
      <c r="D1" s="101"/>
      <c r="E1" s="101"/>
      <c r="F1" s="101"/>
      <c r="G1" s="101"/>
      <c r="H1" s="101"/>
      <c r="I1" s="101"/>
    </row>
    <row r="2" spans="1:9" ht="15" customHeight="1" x14ac:dyDescent="0.2">
      <c r="A2" s="102" t="s">
        <v>117</v>
      </c>
      <c r="B2" s="102"/>
      <c r="C2" s="102"/>
      <c r="D2" s="102"/>
      <c r="E2" s="102"/>
      <c r="F2" s="102"/>
      <c r="G2" s="102"/>
      <c r="H2" s="102"/>
      <c r="I2" s="102"/>
    </row>
    <row r="4" spans="1:9" ht="15" customHeight="1" x14ac:dyDescent="0.2">
      <c r="A4" s="103" t="s">
        <v>118</v>
      </c>
      <c r="B4" s="103"/>
      <c r="C4" s="103"/>
      <c r="D4" s="103"/>
      <c r="E4" s="103"/>
      <c r="F4" s="103"/>
      <c r="G4" s="103"/>
      <c r="H4" s="103"/>
      <c r="I4" s="103"/>
    </row>
    <row r="5" spans="1:9" ht="15" customHeight="1" x14ac:dyDescent="0.2">
      <c r="A5" s="1" t="s">
        <v>119</v>
      </c>
      <c r="B5" s="5">
        <v>190</v>
      </c>
      <c r="C5" s="3"/>
      <c r="D5" s="3"/>
      <c r="E5" s="3"/>
      <c r="F5" s="3"/>
      <c r="G5" s="3"/>
      <c r="H5" s="3"/>
      <c r="I5" s="3"/>
    </row>
    <row r="6" spans="1:9" ht="15" customHeight="1" x14ac:dyDescent="0.2">
      <c r="A6" s="104" t="s">
        <v>120</v>
      </c>
      <c r="B6" s="104"/>
      <c r="C6" s="104"/>
      <c r="D6" s="104"/>
      <c r="E6" s="104"/>
      <c r="F6" s="104"/>
      <c r="G6" s="104"/>
      <c r="H6" s="104"/>
      <c r="I6" s="104"/>
    </row>
    <row r="7" spans="1:9" ht="15" customHeight="1" x14ac:dyDescent="0.2">
      <c r="A7" s="52" t="s">
        <v>121</v>
      </c>
      <c r="B7" s="82">
        <v>0.4</v>
      </c>
      <c r="C7" s="83">
        <f>ROUND(B5*B7,0)</f>
        <v>76</v>
      </c>
      <c r="D7" s="84" t="s">
        <v>122</v>
      </c>
      <c r="E7" s="3"/>
      <c r="F7" s="3"/>
      <c r="G7" s="3"/>
      <c r="H7" s="3"/>
      <c r="I7" s="3"/>
    </row>
    <row r="8" spans="1:9" ht="15" customHeight="1" x14ac:dyDescent="0.2">
      <c r="A8" s="55" t="s">
        <v>123</v>
      </c>
      <c r="B8" s="82">
        <v>0.3</v>
      </c>
      <c r="C8" s="85">
        <f>ROUND(B5*B8,0)</f>
        <v>57</v>
      </c>
      <c r="D8" s="84" t="s">
        <v>122</v>
      </c>
      <c r="E8" s="3"/>
      <c r="F8" s="3"/>
      <c r="G8" s="3"/>
      <c r="H8" s="3"/>
      <c r="I8" s="3"/>
    </row>
    <row r="9" spans="1:9" ht="15" customHeight="1" x14ac:dyDescent="0.2">
      <c r="A9" s="57" t="s">
        <v>124</v>
      </c>
      <c r="B9" s="82">
        <v>0.3</v>
      </c>
      <c r="C9" s="86">
        <f>ROUND(B5*B9,0)</f>
        <v>57</v>
      </c>
      <c r="D9" s="84" t="s">
        <v>122</v>
      </c>
      <c r="E9" s="3"/>
      <c r="F9" s="3"/>
      <c r="G9" s="3"/>
      <c r="H9" s="3"/>
      <c r="I9" s="3"/>
    </row>
    <row r="10" spans="1:9" ht="15" customHeight="1" x14ac:dyDescent="0.2">
      <c r="A10" s="1" t="s">
        <v>125</v>
      </c>
      <c r="B10" s="87">
        <f>B7+B8+B9</f>
        <v>1</v>
      </c>
      <c r="C10" s="88" t="str">
        <f>IF(ABS(B10-1)&lt;0.001,"✅ OK","⚠️ Fix mix!")</f>
        <v>✅ OK</v>
      </c>
      <c r="D10" s="3"/>
      <c r="E10" s="3"/>
      <c r="F10" s="3"/>
      <c r="G10" s="3"/>
      <c r="H10" s="3"/>
      <c r="I10" s="3"/>
    </row>
    <row r="12" spans="1:9" ht="15" customHeight="1" x14ac:dyDescent="0.2">
      <c r="A12" s="105" t="s">
        <v>126</v>
      </c>
      <c r="B12" s="105"/>
      <c r="C12" s="105"/>
      <c r="D12" s="105"/>
      <c r="E12" s="105"/>
      <c r="F12" s="105"/>
      <c r="G12" s="105"/>
      <c r="H12" s="105"/>
      <c r="I12" s="105"/>
    </row>
    <row r="13" spans="1:9" ht="15" customHeight="1" x14ac:dyDescent="0.2">
      <c r="A13" s="6" t="s">
        <v>9</v>
      </c>
      <c r="B13" s="6" t="s">
        <v>64</v>
      </c>
      <c r="C13" s="6" t="s">
        <v>65</v>
      </c>
      <c r="D13" s="6" t="s">
        <v>127</v>
      </c>
      <c r="E13" s="6" t="s">
        <v>128</v>
      </c>
      <c r="F13" s="6" t="s">
        <v>129</v>
      </c>
      <c r="G13" s="6" t="s">
        <v>130</v>
      </c>
      <c r="H13" s="6" t="s">
        <v>131</v>
      </c>
      <c r="I13" s="6" t="s">
        <v>132</v>
      </c>
    </row>
    <row r="14" spans="1:9" ht="15" customHeight="1" x14ac:dyDescent="0.2">
      <c r="A14" s="52" t="s">
        <v>19</v>
      </c>
      <c r="B14" s="83">
        <f>C7</f>
        <v>76</v>
      </c>
      <c r="C14" s="41">
        <f>C7*Inputs!D7</f>
        <v>0</v>
      </c>
      <c r="D14" s="43">
        <f>C14*AVERAGE(Inputs!E12,Inputs!E13,Inputs!E14,Inputs!E15,Inputs!E16)</f>
        <v>0</v>
      </c>
      <c r="E14" s="42">
        <f>C14*AVERAGE(Inputs!F12,Inputs!F13,Inputs!F14,Inputs!F15,Inputs!F16)</f>
        <v>0</v>
      </c>
      <c r="F14" s="43">
        <f>D14-E14</f>
        <v>0</v>
      </c>
      <c r="G14" s="89">
        <f>IFERROR(F14/D14,0)</f>
        <v>0</v>
      </c>
      <c r="H14" s="89">
        <f>IFERROR(F14/F17,0)</f>
        <v>0</v>
      </c>
      <c r="I14" s="89">
        <f>IFERROR(D14/D17,0)</f>
        <v>0</v>
      </c>
    </row>
    <row r="15" spans="1:9" ht="15" customHeight="1" x14ac:dyDescent="0.2">
      <c r="A15" s="55" t="s">
        <v>25</v>
      </c>
      <c r="B15" s="85">
        <f>C8</f>
        <v>57</v>
      </c>
      <c r="C15" s="41">
        <f>C8*Inputs!D7</f>
        <v>0</v>
      </c>
      <c r="D15" s="43">
        <f>C15*AVERAGE(Inputs!E17)</f>
        <v>0</v>
      </c>
      <c r="E15" s="42">
        <f>C15*AVERAGE(Inputs!F17)</f>
        <v>0</v>
      </c>
      <c r="F15" s="43">
        <f>D15-E15</f>
        <v>0</v>
      </c>
      <c r="G15" s="89">
        <f>IFERROR(F15/D15,0)</f>
        <v>0</v>
      </c>
      <c r="H15" s="89">
        <f>IFERROR(F15/F17,0)</f>
        <v>0</v>
      </c>
      <c r="I15" s="89">
        <f>IFERROR(D15/D17,0)</f>
        <v>0</v>
      </c>
    </row>
    <row r="16" spans="1:9" ht="15" customHeight="1" x14ac:dyDescent="0.2">
      <c r="A16" s="57" t="s">
        <v>26</v>
      </c>
      <c r="B16" s="86">
        <f>C9</f>
        <v>57</v>
      </c>
      <c r="C16" s="41">
        <f>C9*Inputs!D7</f>
        <v>0</v>
      </c>
      <c r="D16" s="43">
        <f>C16*AVERAGE(Inputs!E18,Inputs!E19,Inputs!E20,Inputs!E21,Inputs!E22)</f>
        <v>0</v>
      </c>
      <c r="E16" s="42">
        <f>C16*AVERAGE(Inputs!F18,Inputs!F19,Inputs!F20,Inputs!F21,Inputs!F22)</f>
        <v>0</v>
      </c>
      <c r="F16" s="43">
        <f>D16-E16</f>
        <v>0</v>
      </c>
      <c r="G16" s="89">
        <f>IFERROR(F16/D16,0)</f>
        <v>0</v>
      </c>
      <c r="H16" s="89">
        <f>IFERROR(F16/F17,0)</f>
        <v>0</v>
      </c>
      <c r="I16" s="89">
        <f>IFERROR(D16/D17,0)</f>
        <v>0</v>
      </c>
    </row>
    <row r="17" spans="1:9" ht="15" customHeight="1" x14ac:dyDescent="0.2">
      <c r="A17" s="35" t="s">
        <v>133</v>
      </c>
      <c r="B17" s="47">
        <f>SUM(B14,B15,B16)</f>
        <v>190</v>
      </c>
      <c r="C17" s="47">
        <f>SUM(C14,C15,C16)</f>
        <v>0</v>
      </c>
      <c r="D17" s="49">
        <f>SUM(D14,D15,D16)</f>
        <v>0</v>
      </c>
      <c r="E17" s="48">
        <f>SUM(E14,E15,E16)</f>
        <v>0</v>
      </c>
      <c r="F17" s="49">
        <f>SUM(F14,F15,F16)</f>
        <v>0</v>
      </c>
      <c r="G17" s="54">
        <f>IFERROR(F17/D17,0)</f>
        <v>0</v>
      </c>
      <c r="H17" s="54" t="s">
        <v>134</v>
      </c>
      <c r="I17" s="54" t="s">
        <v>134</v>
      </c>
    </row>
    <row r="19" spans="1:9" ht="15" customHeight="1" x14ac:dyDescent="0.2">
      <c r="A19" s="106" t="s">
        <v>135</v>
      </c>
      <c r="B19" s="106"/>
      <c r="C19" s="106"/>
      <c r="D19" s="106"/>
      <c r="E19" s="106"/>
      <c r="F19" s="106"/>
      <c r="G19" s="106"/>
      <c r="H19" s="106"/>
      <c r="I19" s="106"/>
    </row>
    <row r="20" spans="1:9" ht="15" customHeight="1" x14ac:dyDescent="0.2">
      <c r="A20" s="1" t="s">
        <v>136</v>
      </c>
      <c r="B20" s="107">
        <f>F17</f>
        <v>0</v>
      </c>
      <c r="C20" s="107"/>
      <c r="D20" s="107"/>
      <c r="E20" s="107"/>
      <c r="F20" s="107"/>
      <c r="G20" s="107"/>
      <c r="H20" s="107"/>
      <c r="I20" s="107"/>
    </row>
    <row r="21" spans="1:9" ht="15" customHeight="1" x14ac:dyDescent="0.2">
      <c r="A21" s="1" t="s">
        <v>137</v>
      </c>
      <c r="B21" s="107">
        <f>Inputs!D35</f>
        <v>175800</v>
      </c>
      <c r="C21" s="107"/>
      <c r="D21" s="107"/>
      <c r="E21" s="107"/>
      <c r="F21" s="107"/>
      <c r="G21" s="107"/>
      <c r="H21" s="107"/>
      <c r="I21" s="107"/>
    </row>
    <row r="22" spans="1:9" ht="15" customHeight="1" x14ac:dyDescent="0.2">
      <c r="A22" s="1" t="s">
        <v>138</v>
      </c>
      <c r="B22" s="107">
        <f>B20-B21</f>
        <v>-175800</v>
      </c>
      <c r="C22" s="107"/>
      <c r="D22" s="107"/>
      <c r="E22" s="107"/>
      <c r="F22" s="107"/>
      <c r="G22" s="107"/>
      <c r="H22" s="107"/>
      <c r="I22" s="107"/>
    </row>
    <row r="23" spans="1:9" ht="15" customHeight="1" x14ac:dyDescent="0.2">
      <c r="A23" s="1" t="s">
        <v>127</v>
      </c>
      <c r="B23" s="107">
        <f>D17</f>
        <v>0</v>
      </c>
      <c r="C23" s="107"/>
      <c r="D23" s="107"/>
      <c r="E23" s="107"/>
      <c r="F23" s="107"/>
      <c r="G23" s="107"/>
      <c r="H23" s="107"/>
      <c r="I23" s="107"/>
    </row>
    <row r="24" spans="1:9" ht="15" customHeight="1" x14ac:dyDescent="0.2">
      <c r="A24" s="1" t="s">
        <v>139</v>
      </c>
      <c r="B24" s="107">
        <f>B22*0.75</f>
        <v>-131850</v>
      </c>
      <c r="C24" s="107"/>
      <c r="D24" s="107"/>
      <c r="E24" s="107"/>
      <c r="F24" s="107"/>
      <c r="G24" s="107"/>
      <c r="H24" s="107"/>
      <c r="I24" s="107"/>
    </row>
    <row r="25" spans="1:9" ht="15" customHeight="1" x14ac:dyDescent="0.2">
      <c r="A25" s="1" t="s">
        <v>140</v>
      </c>
      <c r="B25" s="108">
        <f>IFERROR(B24/B23,0)</f>
        <v>0</v>
      </c>
      <c r="C25" s="108"/>
      <c r="D25" s="108"/>
      <c r="E25" s="108"/>
      <c r="F25" s="108"/>
      <c r="G25" s="108"/>
      <c r="H25" s="108"/>
      <c r="I25" s="108"/>
    </row>
    <row r="26" spans="1:9" ht="15" customHeight="1" x14ac:dyDescent="0.2">
      <c r="A26" s="1" t="s">
        <v>5</v>
      </c>
      <c r="B26" s="108">
        <f>Inputs!C6</f>
        <v>0.15</v>
      </c>
      <c r="C26" s="108"/>
      <c r="D26" s="108"/>
      <c r="E26" s="108"/>
      <c r="F26" s="108"/>
      <c r="G26" s="108"/>
      <c r="H26" s="108"/>
      <c r="I26" s="108"/>
    </row>
    <row r="27" spans="1:9" ht="15" customHeight="1" x14ac:dyDescent="0.2">
      <c r="A27" s="1" t="s">
        <v>141</v>
      </c>
      <c r="B27" s="109">
        <f>B25-B26</f>
        <v>-0.15</v>
      </c>
      <c r="C27" s="109"/>
      <c r="D27" s="109"/>
      <c r="E27" s="109"/>
      <c r="F27" s="109"/>
      <c r="G27" s="109"/>
      <c r="H27" s="109"/>
      <c r="I27" s="109"/>
    </row>
    <row r="28" spans="1:9" ht="15" customHeight="1" x14ac:dyDescent="0.2">
      <c r="A28" s="1" t="s">
        <v>142</v>
      </c>
      <c r="B28" s="110" t="str">
        <f>IF(B25&gt;=B26,"✅ YES — this mix hits your target!","⚠️ NO — "&amp;TEXT(ABS(B27),"0.0%")&amp;" short. Push Coffee &amp; Drinks more.")</f>
        <v>⚠️ NO — 15.0% short. Push Coffee &amp; Drinks more.</v>
      </c>
      <c r="C28" s="110"/>
      <c r="D28" s="110"/>
      <c r="E28" s="110"/>
      <c r="F28" s="110"/>
      <c r="G28" s="110"/>
      <c r="H28" s="110"/>
      <c r="I28" s="110"/>
    </row>
  </sheetData>
  <mergeCells count="15">
    <mergeCell ref="B24:I24"/>
    <mergeCell ref="B25:I25"/>
    <mergeCell ref="B26:I26"/>
    <mergeCell ref="B27:I27"/>
    <mergeCell ref="B28:I28"/>
    <mergeCell ref="A19:I19"/>
    <mergeCell ref="B20:I20"/>
    <mergeCell ref="B21:I21"/>
    <mergeCell ref="B22:I22"/>
    <mergeCell ref="B23:I23"/>
    <mergeCell ref="A1:I1"/>
    <mergeCell ref="A2:I2"/>
    <mergeCell ref="A4:I4"/>
    <mergeCell ref="A6:I6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2" width="20" customWidth="1"/>
    <col min="3" max="4" width="16" customWidth="1"/>
    <col min="5" max="5" width="25" customWidth="1"/>
  </cols>
  <sheetData>
    <row r="1" spans="1:5" ht="31.5" customHeight="1" x14ac:dyDescent="0.2">
      <c r="A1" s="111" t="s">
        <v>143</v>
      </c>
      <c r="B1" s="111"/>
      <c r="C1" s="111"/>
      <c r="D1" s="111"/>
      <c r="E1" s="111"/>
    </row>
    <row r="2" spans="1:5" ht="15" customHeight="1" x14ac:dyDescent="0.2">
      <c r="A2" s="102" t="s">
        <v>144</v>
      </c>
      <c r="B2" s="102"/>
      <c r="C2" s="102"/>
      <c r="D2" s="102"/>
      <c r="E2" s="102"/>
    </row>
    <row r="4" spans="1:5" ht="15" customHeight="1" x14ac:dyDescent="0.2">
      <c r="A4" s="103" t="s">
        <v>145</v>
      </c>
      <c r="B4" s="103"/>
      <c r="C4" s="103"/>
      <c r="D4" s="103"/>
      <c r="E4" s="103"/>
    </row>
    <row r="5" spans="1:5" ht="15" customHeight="1" x14ac:dyDescent="0.2">
      <c r="A5" s="6" t="s">
        <v>10</v>
      </c>
      <c r="B5" s="6" t="s">
        <v>9</v>
      </c>
      <c r="C5" s="6" t="s">
        <v>12</v>
      </c>
      <c r="D5" s="6" t="s">
        <v>146</v>
      </c>
      <c r="E5" s="6" t="s">
        <v>147</v>
      </c>
    </row>
    <row r="6" spans="1:5" ht="15" customHeight="1" x14ac:dyDescent="0.2">
      <c r="A6" s="90" t="s">
        <v>25</v>
      </c>
      <c r="B6" s="38" t="s">
        <v>25</v>
      </c>
      <c r="C6" s="91">
        <f>Inputs!E17</f>
        <v>6.25</v>
      </c>
      <c r="D6" s="91">
        <f>Inputs!E17-Inputs!F17</f>
        <v>5.58</v>
      </c>
      <c r="E6" s="92">
        <f>IFERROR((Inputs!E17-Inputs!F17)/Inputs!E17,0)</f>
        <v>0.89280000000000004</v>
      </c>
    </row>
    <row r="7" spans="1:5" ht="15" customHeight="1" x14ac:dyDescent="0.2">
      <c r="A7" s="90" t="s">
        <v>27</v>
      </c>
      <c r="B7" s="39" t="s">
        <v>26</v>
      </c>
      <c r="C7" s="91">
        <f>Inputs!E18</f>
        <v>3.75</v>
      </c>
      <c r="D7" s="91">
        <f>Inputs!E18-Inputs!F18</f>
        <v>2.81</v>
      </c>
      <c r="E7" s="92">
        <f>IFERROR((Inputs!E18-Inputs!F18)/Inputs!E18,0)</f>
        <v>0.7493333333333333</v>
      </c>
    </row>
    <row r="8" spans="1:5" ht="15" customHeight="1" x14ac:dyDescent="0.2">
      <c r="A8" s="90" t="s">
        <v>29</v>
      </c>
      <c r="B8" s="39" t="s">
        <v>26</v>
      </c>
      <c r="C8" s="91">
        <f>Inputs!E20</f>
        <v>4.75</v>
      </c>
      <c r="D8" s="91">
        <f>Inputs!E20-Inputs!F20</f>
        <v>3.44</v>
      </c>
      <c r="E8" s="92">
        <f>IFERROR((Inputs!E20-Inputs!F20)/Inputs!E20,0)</f>
        <v>0.72421052631578942</v>
      </c>
    </row>
    <row r="9" spans="1:5" ht="15" customHeight="1" x14ac:dyDescent="0.2">
      <c r="A9" s="90" t="s">
        <v>20</v>
      </c>
      <c r="B9" s="37" t="s">
        <v>19</v>
      </c>
      <c r="C9" s="91">
        <f>Inputs!E12</f>
        <v>4.25</v>
      </c>
      <c r="D9" s="91">
        <f>Inputs!E12-Inputs!F12</f>
        <v>3.05</v>
      </c>
      <c r="E9" s="92">
        <f>IFERROR((Inputs!E12-Inputs!F12)/Inputs!E12,0)</f>
        <v>0.71764705882352942</v>
      </c>
    </row>
    <row r="10" spans="1:5" ht="15" customHeight="1" x14ac:dyDescent="0.2">
      <c r="A10" s="90" t="s">
        <v>21</v>
      </c>
      <c r="B10" s="37" t="s">
        <v>19</v>
      </c>
      <c r="C10" s="91">
        <f>Inputs!E13</f>
        <v>4.95</v>
      </c>
      <c r="D10" s="91">
        <f>Inputs!E13-Inputs!F13</f>
        <v>3.5500000000000003</v>
      </c>
      <c r="E10" s="92">
        <f>IFERROR((Inputs!E13-Inputs!F13)/Inputs!E13,0)</f>
        <v>0.71717171717171724</v>
      </c>
    </row>
    <row r="11" spans="1:5" ht="15" customHeight="1" x14ac:dyDescent="0.2">
      <c r="A11" s="90" t="s">
        <v>23</v>
      </c>
      <c r="B11" s="37" t="s">
        <v>19</v>
      </c>
      <c r="C11" s="91">
        <f>Inputs!E15</f>
        <v>13.95</v>
      </c>
      <c r="D11" s="91">
        <f>Inputs!E15-Inputs!F15</f>
        <v>9.9499999999999993</v>
      </c>
      <c r="E11" s="92">
        <f>IFERROR((Inputs!E15-Inputs!F15)/Inputs!E15,0)</f>
        <v>0.71326164874551967</v>
      </c>
    </row>
    <row r="12" spans="1:5" ht="15" customHeight="1" x14ac:dyDescent="0.2">
      <c r="A12" s="90" t="s">
        <v>24</v>
      </c>
      <c r="B12" s="37" t="s">
        <v>19</v>
      </c>
      <c r="C12" s="91">
        <f>Inputs!E16</f>
        <v>10.45</v>
      </c>
      <c r="D12" s="91">
        <f>Inputs!E16-Inputs!F16</f>
        <v>7.4499999999999993</v>
      </c>
      <c r="E12" s="92">
        <f>IFERROR((Inputs!E16-Inputs!F16)/Inputs!E16,0)</f>
        <v>0.71291866028708128</v>
      </c>
    </row>
    <row r="13" spans="1:5" ht="15" customHeight="1" x14ac:dyDescent="0.2">
      <c r="A13" s="90" t="s">
        <v>28</v>
      </c>
      <c r="B13" s="39" t="s">
        <v>26</v>
      </c>
      <c r="C13" s="91">
        <f>Inputs!E19</f>
        <v>3.25</v>
      </c>
      <c r="D13" s="91">
        <f>Inputs!E19-Inputs!F19</f>
        <v>2.31</v>
      </c>
      <c r="E13" s="92">
        <f>IFERROR((Inputs!E19-Inputs!F19)/Inputs!E19,0)</f>
        <v>0.71076923076923082</v>
      </c>
    </row>
    <row r="14" spans="1:5" ht="15" customHeight="1" x14ac:dyDescent="0.2">
      <c r="A14" s="90" t="s">
        <v>30</v>
      </c>
      <c r="B14" s="39" t="s">
        <v>26</v>
      </c>
      <c r="C14" s="91">
        <f>Inputs!E21</f>
        <v>5.45</v>
      </c>
      <c r="D14" s="91">
        <f>Inputs!E21-Inputs!F21</f>
        <v>3.8600000000000003</v>
      </c>
      <c r="E14" s="92">
        <f>IFERROR((Inputs!E21-Inputs!F21)/Inputs!E21,0)</f>
        <v>0.70825688073394499</v>
      </c>
    </row>
    <row r="15" spans="1:5" ht="15" customHeight="1" x14ac:dyDescent="0.2">
      <c r="A15" s="90" t="s">
        <v>31</v>
      </c>
      <c r="B15" s="39" t="s">
        <v>26</v>
      </c>
      <c r="C15" s="91">
        <f>Inputs!E22</f>
        <v>6.25</v>
      </c>
      <c r="D15" s="91">
        <f>Inputs!E22-Inputs!F22</f>
        <v>4.41</v>
      </c>
      <c r="E15" s="92">
        <f>IFERROR((Inputs!E22-Inputs!F22)/Inputs!E22,0)</f>
        <v>0.7056</v>
      </c>
    </row>
    <row r="16" spans="1:5" ht="15" customHeight="1" x14ac:dyDescent="0.2">
      <c r="A16" s="93" t="s">
        <v>22</v>
      </c>
      <c r="B16" s="37" t="s">
        <v>19</v>
      </c>
      <c r="C16" s="94">
        <f>Inputs!E14</f>
        <v>6.95</v>
      </c>
      <c r="D16" s="94">
        <f>Inputs!E14-Inputs!F14</f>
        <v>4.8499999999999996</v>
      </c>
      <c r="E16" s="95">
        <f>IFERROR((Inputs!E14-Inputs!F14)/Inputs!E14,0)</f>
        <v>0.69784172661870492</v>
      </c>
    </row>
    <row r="18" spans="1:5" ht="15" customHeight="1" x14ac:dyDescent="0.2">
      <c r="A18" s="103" t="s">
        <v>148</v>
      </c>
      <c r="B18" s="103"/>
      <c r="C18" s="103"/>
      <c r="D18" s="103"/>
      <c r="E18" s="103"/>
    </row>
    <row r="19" spans="1:5" ht="15" customHeight="1" x14ac:dyDescent="0.2">
      <c r="A19" s="96" t="s">
        <v>149</v>
      </c>
      <c r="B19" s="54">
        <f>IFERROR(AVERAGE((Inputs!E12-Inputs!F12)/Inputs!E12,(Inputs!E13-Inputs!F13)/Inputs!E13,(Inputs!E14-Inputs!F14)/Inputs!E14,(Inputs!E15-Inputs!F15)/Inputs!E15,(Inputs!E16-Inputs!F16)/Inputs!E16),0)</f>
        <v>0.71176816232931051</v>
      </c>
      <c r="C19" s="3"/>
      <c r="D19" s="3"/>
      <c r="E19" s="3"/>
    </row>
    <row r="20" spans="1:5" ht="15" customHeight="1" x14ac:dyDescent="0.2">
      <c r="A20" s="97" t="s">
        <v>150</v>
      </c>
      <c r="B20" s="54">
        <f>IFERROR(AVERAGE((Inputs!E17-Inputs!F17)/Inputs!E17),0)</f>
        <v>0.89280000000000004</v>
      </c>
      <c r="C20" s="3"/>
      <c r="D20" s="3"/>
      <c r="E20" s="3"/>
    </row>
    <row r="21" spans="1:5" ht="15" customHeight="1" x14ac:dyDescent="0.2">
      <c r="A21" s="98" t="s">
        <v>151</v>
      </c>
      <c r="B21" s="54">
        <f>IFERROR(AVERAGE((Inputs!E18-Inputs!F18)/Inputs!E18,(Inputs!E19-Inputs!F19)/Inputs!E19,(Inputs!E20-Inputs!F20)/Inputs!E20,(Inputs!E21-Inputs!F21)/Inputs!E21,(Inputs!E22-Inputs!F22)/Inputs!E22),0)</f>
        <v>0.71963399423045971</v>
      </c>
      <c r="C21" s="3"/>
      <c r="D21" s="3"/>
      <c r="E21" s="3"/>
    </row>
    <row r="23" spans="1:5" ht="15" customHeight="1" x14ac:dyDescent="0.2">
      <c r="A23" s="106" t="s">
        <v>152</v>
      </c>
      <c r="B23" s="106"/>
      <c r="C23" s="106"/>
      <c r="D23" s="106"/>
      <c r="E23" s="106"/>
    </row>
    <row r="24" spans="1:5" ht="24" customHeight="1" x14ac:dyDescent="0.2">
      <c r="A24" s="99" t="s">
        <v>153</v>
      </c>
      <c r="B24" s="120" t="s">
        <v>154</v>
      </c>
      <c r="C24" s="120"/>
      <c r="D24" s="120"/>
      <c r="E24" s="120"/>
    </row>
    <row r="25" spans="1:5" ht="24" customHeight="1" x14ac:dyDescent="0.2">
      <c r="A25" s="99" t="s">
        <v>155</v>
      </c>
      <c r="B25" s="120" t="s">
        <v>156</v>
      </c>
      <c r="C25" s="120"/>
      <c r="D25" s="120"/>
      <c r="E25" s="120"/>
    </row>
    <row r="26" spans="1:5" ht="24" customHeight="1" x14ac:dyDescent="0.2">
      <c r="A26" s="99" t="s">
        <v>157</v>
      </c>
      <c r="B26" s="120" t="s">
        <v>158</v>
      </c>
      <c r="C26" s="120"/>
      <c r="D26" s="120"/>
      <c r="E26" s="120"/>
    </row>
    <row r="27" spans="1:5" ht="24" customHeight="1" x14ac:dyDescent="0.2">
      <c r="A27" s="99" t="s">
        <v>159</v>
      </c>
      <c r="B27" s="120" t="s">
        <v>160</v>
      </c>
      <c r="C27" s="120"/>
      <c r="D27" s="120"/>
      <c r="E27" s="120"/>
    </row>
    <row r="28" spans="1:5" ht="24" customHeight="1" x14ac:dyDescent="0.2">
      <c r="A28" s="99" t="s">
        <v>161</v>
      </c>
      <c r="B28" s="120" t="s">
        <v>162</v>
      </c>
      <c r="C28" s="120"/>
      <c r="D28" s="120"/>
      <c r="E28" s="120"/>
    </row>
    <row r="29" spans="1:5" ht="24" customHeight="1" x14ac:dyDescent="0.2">
      <c r="A29" s="99" t="s">
        <v>163</v>
      </c>
      <c r="B29" s="120" t="s">
        <v>164</v>
      </c>
      <c r="C29" s="120"/>
      <c r="D29" s="120"/>
      <c r="E29" s="120"/>
    </row>
  </sheetData>
  <mergeCells count="11">
    <mergeCell ref="B29:E29"/>
    <mergeCell ref="B24:E24"/>
    <mergeCell ref="B25:E25"/>
    <mergeCell ref="B26:E26"/>
    <mergeCell ref="B27:E27"/>
    <mergeCell ref="B28:E28"/>
    <mergeCell ref="A1:E1"/>
    <mergeCell ref="A2:E2"/>
    <mergeCell ref="A4:E4"/>
    <mergeCell ref="A18:E18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Sales Mix Simulator</vt:lpstr>
      <vt:lpstr>P&amp;L Analysis</vt:lpstr>
      <vt:lpstr>Mix Impact Analysis</vt:lpstr>
      <vt:lpstr>Marketing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Nandan Namburi</cp:lastModifiedBy>
  <cp:revision>0</cp:revision>
  <dcterms:created xsi:type="dcterms:W3CDTF">2026-02-24T23:46:41Z</dcterms:created>
  <dcterms:modified xsi:type="dcterms:W3CDTF">2026-05-15T06:26:16Z</dcterms:modified>
  <dc:language>en-US</dc:language>
</cp:coreProperties>
</file>